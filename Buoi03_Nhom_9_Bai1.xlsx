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ACA87E-8796-461A-B355-B7FC10FCFEF0}" xr6:coauthVersionLast="47" xr6:coauthVersionMax="47" xr10:uidLastSave="{00000000-0000-0000-0000-000000000000}"/>
  <bookViews>
    <workbookView xWindow="2685" yWindow="968" windowWidth="14400" windowHeight="7372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 viên điểm &lt; 7" sheetId="6" r:id="rId6"/>
    <sheet name="Sinh viên điểm &gt;= 7" sheetId="7" r:id="rId7"/>
  </sheets>
  <definedNames>
    <definedName name="_xlnm._FilterDatabase" localSheetId="5" hidden="1">'Sinh viên điểm &lt; 7'!$A$1:$K$12</definedName>
    <definedName name="_xlnm._FilterDatabase" localSheetId="6" hidden="1">'Sinh viên điểm &gt;= 7'!$A$1:$K$2</definedName>
    <definedName name="_xlnm._FilterDatabase" localSheetId="0" hidden="1">'Tổng hợp điểm'!$A$6:$K$20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1" l="1"/>
  <c r="H20" i="1"/>
  <c r="I20" i="1" s="1"/>
  <c r="G20" i="1"/>
  <c r="J20" i="1" s="1"/>
  <c r="K20" i="1" s="1"/>
  <c r="F20" i="1"/>
  <c r="E20" i="1"/>
  <c r="D20" i="1"/>
  <c r="C20" i="1"/>
  <c r="H19" i="1"/>
  <c r="I19" i="1" s="1"/>
  <c r="G19" i="1"/>
  <c r="J19" i="1" s="1"/>
  <c r="K19" i="1" s="1"/>
  <c r="F19" i="1"/>
  <c r="E19" i="1"/>
  <c r="D19" i="1"/>
  <c r="C19" i="1"/>
  <c r="H18" i="1"/>
  <c r="I18" i="1" s="1"/>
  <c r="G18" i="1"/>
  <c r="J18" i="1" s="1"/>
  <c r="K18" i="1" s="1"/>
  <c r="F18" i="1"/>
  <c r="E18" i="1"/>
  <c r="D18" i="1"/>
  <c r="C18" i="1"/>
  <c r="H17" i="1"/>
  <c r="I17" i="1" s="1"/>
  <c r="G17" i="1"/>
  <c r="J17" i="1" s="1"/>
  <c r="K17" i="1" s="1"/>
  <c r="F17" i="1"/>
  <c r="E17" i="1"/>
  <c r="D17" i="1"/>
  <c r="C17" i="1"/>
  <c r="H16" i="1"/>
  <c r="I16" i="1" s="1"/>
  <c r="G16" i="1"/>
  <c r="J16" i="1" s="1"/>
  <c r="K16" i="1" s="1"/>
  <c r="F16" i="1"/>
  <c r="E16" i="1"/>
  <c r="D16" i="1"/>
  <c r="C16" i="1"/>
  <c r="H15" i="1"/>
  <c r="I15" i="1" s="1"/>
  <c r="G15" i="1"/>
  <c r="F15" i="1"/>
  <c r="E15" i="1"/>
  <c r="D15" i="1"/>
  <c r="C15" i="1"/>
  <c r="J14" i="1"/>
  <c r="K14" i="1" s="1"/>
  <c r="H14" i="1"/>
  <c r="I14" i="1" s="1"/>
  <c r="G14" i="1"/>
  <c r="F14" i="1"/>
  <c r="E14" i="1"/>
  <c r="D14" i="1"/>
  <c r="C14" i="1"/>
  <c r="H13" i="1"/>
  <c r="I13" i="1" s="1"/>
  <c r="G13" i="1"/>
  <c r="J13" i="1" s="1"/>
  <c r="K13" i="1" s="1"/>
  <c r="F13" i="1"/>
  <c r="E13" i="1"/>
  <c r="D13" i="1"/>
  <c r="C13" i="1"/>
  <c r="I12" i="1"/>
  <c r="J12" i="1" s="1"/>
  <c r="K12" i="1" s="1"/>
  <c r="H12" i="1"/>
  <c r="G12" i="1"/>
  <c r="F12" i="1"/>
  <c r="E12" i="1"/>
  <c r="D12" i="1"/>
  <c r="C12" i="1"/>
  <c r="H11" i="1"/>
  <c r="I11" i="1" s="1"/>
  <c r="G11" i="1"/>
  <c r="J11" i="1" s="1"/>
  <c r="K11" i="1" s="1"/>
  <c r="F11" i="1"/>
  <c r="E11" i="1"/>
  <c r="D11" i="1"/>
  <c r="C11" i="1"/>
  <c r="H10" i="1"/>
  <c r="I10" i="1" s="1"/>
  <c r="G10" i="1"/>
  <c r="F10" i="1"/>
  <c r="E10" i="1"/>
  <c r="D10" i="1"/>
  <c r="C10" i="1"/>
  <c r="H9" i="1"/>
  <c r="I9" i="1" s="1"/>
  <c r="G9" i="1"/>
  <c r="F9" i="1"/>
  <c r="E9" i="1"/>
  <c r="D9" i="1"/>
  <c r="C9" i="1"/>
  <c r="H8" i="1"/>
  <c r="I8" i="1" s="1"/>
  <c r="G8" i="1"/>
  <c r="F8" i="1"/>
  <c r="E8" i="1"/>
  <c r="D8" i="1"/>
  <c r="C8" i="1"/>
  <c r="H7" i="1"/>
  <c r="I7" i="1" s="1"/>
  <c r="G7" i="1"/>
  <c r="J7" i="1" s="1"/>
  <c r="F7" i="1"/>
  <c r="E7" i="1"/>
  <c r="D7" i="1"/>
  <c r="F24" i="5" l="1"/>
  <c r="J9" i="1"/>
  <c r="K9" i="1" s="1"/>
  <c r="K7" i="1"/>
  <c r="F27" i="5"/>
  <c r="J15" i="1"/>
  <c r="K15" i="1" s="1"/>
  <c r="J10" i="1"/>
  <c r="K10" i="1" s="1"/>
  <c r="J8" i="1"/>
  <c r="K8" i="1" s="1"/>
  <c r="F14" i="5" l="1"/>
  <c r="F16" i="5"/>
  <c r="F17" i="5"/>
  <c r="F19" i="5"/>
  <c r="F20" i="5"/>
  <c r="F15" i="5"/>
  <c r="F18" i="5"/>
  <c r="F21" i="5"/>
</calcChain>
</file>

<file path=xl/sharedStrings.xml><?xml version="1.0" encoding="utf-8"?>
<sst xmlns="http://schemas.openxmlformats.org/spreadsheetml/2006/main" count="255" uniqueCount="88">
  <si>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</si>
  <si>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</si>
  <si>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</si>
  <si>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</si>
  <si>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</si>
  <si>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</si>
  <si>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</si>
  <si>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</si>
  <si>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</si>
  <si>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</si>
  <si>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</si>
  <si>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</si>
  <si>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</si>
  <si>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</si>
  <si>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</si>
  <si>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</si>
  <si>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</si>
  <si>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</si>
  <si>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</si>
  <si>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</si>
  <si>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</si>
  <si>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</si>
  <si>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</si>
  <si>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</si>
  <si>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</si>
  <si>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</si>
  <si>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</si>
  <si>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</si>
  <si>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</si>
  <si>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</si>
  <si>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</si>
  <si>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</si>
  <si>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</si>
  <si>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</si>
  <si>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</si>
  <si>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</si>
  <si>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</si>
  <si>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</si>
  <si>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</si>
  <si>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</si>
  <si>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</si>
  <si>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</si>
  <si>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</si>
  <si>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</si>
  <si>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</si>
  <si>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</si>
  <si>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</si>
  <si>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</si>
  <si>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</si>
  <si>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</si>
  <si>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</si>
  <si>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</si>
  <si>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</si>
  <si>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</si>
  <si>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</si>
  <si>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</si>
  <si>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</si>
  <si>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</si>
  <si>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</si>
  <si>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</si>
  <si>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</si>
  <si>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</si>
  <si>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</si>
  <si>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</si>
  <si>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</si>
  <si>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BL lớn</t>
  </si>
  <si>
    <t>Điểm lý thuyết</t>
  </si>
  <si>
    <t>Bảng quy đổi điểm</t>
  </si>
  <si>
    <t>Bảng  Điểm Chuyên Cần</t>
  </si>
  <si>
    <t>Điểm theo thang 10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</si>
  <si>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</si>
  <si>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</si>
  <si>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</si>
  <si>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</si>
  <si>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</si>
  <si>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</si>
  <si>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</si>
  <si>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</si>
  <si>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</si>
  <si>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</si>
  <si>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</si>
  <si>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</si>
  <si>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</si>
  <si>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Họ và tên</t>
  </si>
  <si>
    <t>Số lượng sinh viên</t>
  </si>
  <si>
    <t>Bảng thống kê sinh viên</t>
  </si>
  <si>
    <t>Số sinh viên điểm BT lớn =0 hoặc điểm LT =-3</t>
  </si>
  <si>
    <t>Số SV có Điểm theo thang điểm 10 &gt;= 7 và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</si>
</sst>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charset val="163"/>
    </font>
    <font>
      <sz val="10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theme="1"/>
      <name val="Time s New Roman"/>
      <charset val="163"/>
    </font>
    <font>
      <sz val="12"/>
      <color theme="1"/>
      <name val="Arial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63"/>
    </font>
    <font>
      <sz val="11"/>
      <color theme="1"/>
      <name val="Time s New Roman"/>
      <charset val="163"/>
    </font>
    <font>
      <b/>
      <sz val="16"/>
      <color rgb="FF002060"/>
      <name val="Times New Roman"/>
      <family val="1"/>
      <charset val="163"/>
    </font>
    <font>
      <b/>
      <sz val="11"/>
      <color rgb="FF002060"/>
      <name val="Aptos Narrow"/>
      <family val="2"/>
      <charset val="1"/>
    </font>
    <font>
      <b/>
      <sz val="11"/>
      <color rgb="FF002060"/>
      <name val="Aptos Narrow"/>
      <family val="2"/>
      <charset val="163"/>
    </font>
    <font>
      <b/>
      <sz val="14"/>
      <color rgb="FF002060"/>
      <name val="Aptos Narrow"/>
      <family val="2"/>
      <charset val="1"/>
    </font>
    <font>
      <b/>
      <sz val="12"/>
      <color rgb="FF002060"/>
      <name val="Aptos Narrow"/>
      <family val="2"/>
      <charset val="1"/>
    </font>
    <font>
      <sz val="14"/>
      <color rgb="FF002060"/>
      <name val="Aptos Narrow"/>
      <family val="2"/>
      <charset val="163"/>
    </font>
    <font>
      <b/>
      <sz val="12"/>
      <color rgb="FF002060"/>
      <name val="Times New Roman"/>
      <family val="1"/>
      <charset val="1"/>
    </font>
    <font>
      <b/>
      <sz val="11"/>
      <color theme="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C80"/>
        <bgColor rgb="FFEEA18B"/>
      </patternFill>
    </fill>
    <fill>
      <patternFill patternType="solid">
        <fgColor theme="3" tint="0.89989928891872917"/>
        <bgColor rgb="FFD9D9D9"/>
      </patternFill>
    </fill>
    <fill>
      <patternFill patternType="solid">
        <fgColor theme="5" tint="0.39988402966399123"/>
        <bgColor rgb="FFEEA18B"/>
      </patternFill>
    </fill>
    <fill>
      <patternFill patternType="solid">
        <fgColor theme="2" tint="-0.249977111117893"/>
        <bgColor rgb="FF889AAA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19" fillId="0" borderId="1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justify" vertical="center" wrapText="1"/>
    </xf>
    <xf numFmtId="0" fontId="17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3" borderId="1" xfId="0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3" borderId="3" xfId="0" applyFill="1" applyBorder="1"/>
    <xf numFmtId="0" fontId="5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6" xfId="0" applyBorder="1"/>
    <xf numFmtId="0" fontId="0" fillId="0" borderId="5" xfId="0" applyBorder="1"/>
    <xf numFmtId="0" fontId="16" fillId="6" borderId="1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0" fillId="0" borderId="7" xfId="0" applyBorder="1"/>
    <xf numFmtId="0" fontId="13" fillId="6" borderId="1" xfId="0" applyFont="1" applyFill="1" applyBorder="1"/>
    <xf numFmtId="0" fontId="19" fillId="0" borderId="6" xfId="0" applyFont="1" applyBorder="1" applyAlignment="1">
      <alignment horizontal="center" vertical="center"/>
    </xf>
    <xf numFmtId="0" fontId="0" fillId="0" borderId="8" xfId="0" applyBorder="1"/>
    <xf numFmtId="0" fontId="15" fillId="6" borderId="8" xfId="0" applyFont="1" applyFill="1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3" fillId="0" borderId="2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5F20"/>
      <rgbColor rgb="FF000080"/>
      <rgbColor rgb="FF808000"/>
      <rgbColor rgb="FF800080"/>
      <rgbColor rgb="FF0D8CBD"/>
      <rgbColor rgb="FFAEAEAE"/>
      <rgbColor rgb="FF808080"/>
      <rgbColor rgb="FF9999FF"/>
      <rgbColor rgb="FF8E2682"/>
      <rgbColor rgb="FFFFFFCC"/>
      <rgbColor rgb="FFDCEAF7"/>
      <rgbColor rgb="FF660066"/>
      <rgbColor rgb="FFFF7C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CFFCC"/>
      <rgbColor rgb="FFFFFF99"/>
      <rgbColor rgb="FF99CCFF"/>
      <rgbColor rgb="FFEEA18B"/>
      <rgbColor rgb="FFCC99FF"/>
      <rgbColor rgb="FFF2AA84"/>
      <rgbColor rgb="FF3366FF"/>
      <rgbColor rgb="FF33CCCC"/>
      <rgbColor rgb="FF99CC00"/>
      <rgbColor rgb="FFFFCC00"/>
      <rgbColor rgb="FFFF9900"/>
      <rgbColor rgb="FFCF642C"/>
      <rgbColor rgb="FF666699"/>
      <rgbColor rgb="FF889AAA"/>
      <rgbColor rgb="FF002060"/>
      <rgbColor rgb="FF459428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vi-VN" sz="1800" b="1" u="none" strike="noStrike">
                <a:solidFill>
                  <a:srgbClr val="000000"/>
                </a:solidFill>
                <a:uFillTx/>
                <a:latin typeface="Aptos Narrow"/>
              </a:rPr>
              <a:t>Thống kê tổng số lượng Sinh viên theo điểm chữ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</c:view3D>
    <c:floor>
      <c:thickness val="0"/>
      <c:spPr>
        <a:solidFill>
          <a:srgbClr val="D9D9D9"/>
        </a:solidFill>
        <a:ln w="0">
          <a:noFill/>
        </a:ln>
      </c:spPr>
    </c:floor>
    <c:sideWall>
      <c:thickness val="0"/>
      <c:spPr>
        <a:solidFill>
          <a:srgbClr val="D9D9D9"/>
        </a:solidFill>
        <a:ln w="0">
          <a:noFill/>
        </a:ln>
      </c:spPr>
    </c:sideWall>
    <c:backWall>
      <c:thickness val="0"/>
      <c:spPr>
        <a:solidFill>
          <a:srgbClr val="D9D9D9"/>
        </a:solidFill>
        <a:ln w="0">
          <a:noFill/>
        </a:ln>
      </c:spPr>
    </c:backWall>
    <c:plotArea>
      <c:layout/>
      <c:pie3DChart>
        <c:varyColors val="1"/>
        <c:ser>
          <c:idx val="0"/>
          <c:order val="0"/>
          <c:tx>
            <c:strRef>
              <c:f>'Các bảng tham chiếu &amp; Thống kê'!$F$13</c:f>
              <c:strCache>
                <c:ptCount val="1"/>
                <c:pt idx="0">
                  <c:v>Số lượng sinh viên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2557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942-44D6-A06D-F7D5507CB6C3}"/>
              </c:ext>
            </c:extLst>
          </c:dPt>
          <c:dPt>
            <c:idx val="1"/>
            <c:bubble3D val="0"/>
            <c:spPr>
              <a:solidFill>
                <a:srgbClr val="CF642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942-44D6-A06D-F7D5507CB6C3}"/>
              </c:ext>
            </c:extLst>
          </c:dPt>
          <c:dPt>
            <c:idx val="2"/>
            <c:bubble3D val="0"/>
            <c:spPr>
              <a:solidFill>
                <a:srgbClr val="165F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942-44D6-A06D-F7D5507CB6C3}"/>
              </c:ext>
            </c:extLst>
          </c:dPt>
          <c:dPt>
            <c:idx val="3"/>
            <c:bubble3D val="0"/>
            <c:spPr>
              <a:solidFill>
                <a:srgbClr val="0D8C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942-44D6-A06D-F7D5507CB6C3}"/>
              </c:ext>
            </c:extLst>
          </c:dPt>
          <c:dPt>
            <c:idx val="4"/>
            <c:bubble3D val="0"/>
            <c:spPr>
              <a:solidFill>
                <a:srgbClr val="8E26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942-44D6-A06D-F7D5507CB6C3}"/>
              </c:ext>
            </c:extLst>
          </c:dPt>
          <c:dPt>
            <c:idx val="5"/>
            <c:bubble3D val="0"/>
            <c:spPr>
              <a:solidFill>
                <a:srgbClr val="45942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942-44D6-A06D-F7D5507CB6C3}"/>
              </c:ext>
            </c:extLst>
          </c:dPt>
          <c:dPt>
            <c:idx val="6"/>
            <c:bubble3D val="0"/>
            <c:spPr>
              <a:solidFill>
                <a:srgbClr val="889AA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942-44D6-A06D-F7D5507CB6C3}"/>
              </c:ext>
            </c:extLst>
          </c:dPt>
          <c:dPt>
            <c:idx val="7"/>
            <c:bubble3D val="0"/>
            <c:spPr>
              <a:solidFill>
                <a:srgbClr val="EEA18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942-44D6-A06D-F7D5507CB6C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942-44D6-A06D-F7D5507CB6C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942-44D6-A06D-F7D5507CB6C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942-44D6-A06D-F7D5507CB6C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942-44D6-A06D-F7D5507CB6C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942-44D6-A06D-F7D5507CB6C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6942-44D6-A06D-F7D5507CB6C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6942-44D6-A06D-F7D5507CB6C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6942-44D6-A06D-F7D5507CB6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942-44D6-A06D-F7D5507CB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14</xdr:col>
      <xdr:colOff>225720</xdr:colOff>
      <xdr:row>28</xdr:row>
      <xdr:rowOff>96480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86" zoomScaleNormal="86" workbookViewId="0">
      <pane xSplit="3" ySplit="6" topLeftCell="D21" activePane="bottomRight" state="frozen"/>
      <selection pane="topRight" activeCell="D1" sqref="D1"/>
      <selection pane="bottomLeft" activeCell="A7" sqref="A7"/>
      <selection pane="bottomRight" activeCell="C7" sqref="C7"/>
    </sheetView>
  </sheetViews>
  <sheetFormatPr defaultColWidth="8.59765625" defaultRowHeight="14.25" customHeight="1"/>
  <cols>
    <col min="1" max="1" width="6.59765625" style="12" customWidth="1"/>
    <col min="2" max="2" width="15.59765625" customWidth="1"/>
    <col min="3" max="3" width="31.59765625" customWidth="1"/>
    <col min="4" max="9" width="15.59765625" customWidth="1"/>
    <col min="10" max="10" width="19.6640625" customWidth="1"/>
    <col min="11" max="11" width="15.59765625" customWidth="1"/>
  </cols>
  <sheetData>
    <row r="1" spans="1:11" ht="19.5" customHeight="1">
      <c r="A1" s="13"/>
      <c r="B1" s="11" t="s">
        <v>0</v>
      </c>
      <c r="C1" s="11"/>
      <c r="D1" s="11"/>
      <c r="E1" s="11"/>
      <c r="F1" s="11"/>
      <c r="G1" s="11"/>
      <c r="H1" s="11"/>
      <c r="I1" s="14"/>
      <c r="J1" s="14"/>
      <c r="K1" s="14"/>
    </row>
    <row r="2" spans="1:11" ht="15" customHeight="1">
      <c r="A2" s="13"/>
      <c r="B2" s="15" t="s">
        <v>1</v>
      </c>
      <c r="C2" s="16">
        <v>1043</v>
      </c>
      <c r="D2" s="10" t="s">
        <v>2</v>
      </c>
      <c r="E2" s="10"/>
      <c r="F2" s="10" t="s">
        <v>3</v>
      </c>
      <c r="G2" s="10"/>
      <c r="H2" s="10"/>
      <c r="I2" s="14"/>
      <c r="J2" s="14"/>
      <c r="K2" s="14"/>
    </row>
    <row r="3" spans="1:11" ht="15" customHeight="1">
      <c r="A3" s="13"/>
      <c r="B3" s="15" t="s">
        <v>4</v>
      </c>
      <c r="C3" s="16" t="s">
        <v>5</v>
      </c>
      <c r="D3" s="10" t="s">
        <v>6</v>
      </c>
      <c r="E3" s="10"/>
      <c r="F3" s="10">
        <v>8</v>
      </c>
      <c r="G3" s="10"/>
      <c r="H3" s="10"/>
      <c r="I3" s="14"/>
      <c r="J3" s="14"/>
      <c r="K3" s="14"/>
    </row>
    <row r="4" spans="1:11" ht="15" customHeight="1">
      <c r="A4" s="13"/>
      <c r="B4" s="15" t="s">
        <v>7</v>
      </c>
      <c r="C4" s="16" t="s">
        <v>8</v>
      </c>
      <c r="D4" s="10" t="s">
        <v>9</v>
      </c>
      <c r="E4" s="10"/>
      <c r="F4" s="10">
        <v>1</v>
      </c>
      <c r="G4" s="10"/>
      <c r="H4" s="10"/>
      <c r="I4" s="14"/>
      <c r="J4" s="14"/>
      <c r="K4" s="14"/>
    </row>
    <row r="5" spans="1:11" ht="15" customHeight="1">
      <c r="A5" s="13"/>
      <c r="B5" s="14"/>
      <c r="C5" s="17"/>
      <c r="D5" s="14"/>
      <c r="E5" s="14"/>
      <c r="F5" s="14"/>
      <c r="G5" s="14"/>
      <c r="H5" s="14"/>
      <c r="I5" s="14"/>
      <c r="J5" s="14"/>
      <c r="K5" s="14"/>
    </row>
    <row r="6" spans="1:11" ht="30" customHeight="1">
      <c r="A6" s="18" t="s">
        <v>10</v>
      </c>
      <c r="B6" s="19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19" t="s">
        <v>17</v>
      </c>
      <c r="I6" s="19" t="s">
        <v>18</v>
      </c>
      <c r="J6" s="19" t="s">
        <v>19</v>
      </c>
      <c r="K6" s="19" t="s">
        <v>20</v>
      </c>
    </row>
    <row r="7" spans="1:11" ht="15" customHeight="1">
      <c r="A7" s="13">
        <v>1</v>
      </c>
      <c r="B7" s="20" t="s">
        <v>21</v>
      </c>
      <c r="C7" s="54" t="str">
        <f>VLOOKUP(RIGHT(B7,8),'Các bảng tham chiếu &amp; Thống kê'!$B$14:$C$27,2,FALSE())</f>
        <v>Nguyễn Văn Hiếu</v>
      </c>
      <c r="D7">
        <f>VLOOKUP(RIGHT(B7,8),'Điểm thực hành các buổi'!$B$3:$F$16,3,FALSE())</f>
        <v>0.45</v>
      </c>
      <c r="E7" s="14">
        <f>VLOOKUP(RIGHT(B7,8),'Điểm thực hành các buổi'!$B$3:$F$16,4,FALSE())</f>
        <v>0.25</v>
      </c>
      <c r="F7" s="14">
        <f>VLOOKUP(RIGHT(B7,8),'Điểm thực hành các buổi'!$B$3:$F$16,5,FALSE())</f>
        <v>0.3</v>
      </c>
      <c r="G7" s="14">
        <f>VLOOKUP(RIGHT(B7,8),'Điểm bài tập lớn'!$B$3:$D$16,3,FALSE())</f>
        <v>0.5</v>
      </c>
      <c r="H7" s="14">
        <f>VLOOKUP(RIGHT(B7,8),'Điểm lý thuyết'!$B$3:$D$16,3,FALSE())</f>
        <v>4.2</v>
      </c>
      <c r="I7" s="14">
        <f t="shared" ref="I7:I20" si="0">IF(H7=-3,0,ROUND(D7+E7+F7+G7+0.6*H7,1))</f>
        <v>4</v>
      </c>
      <c r="J7" s="21">
        <f>ROUND(IF(OR(G7=0,VALUE(LEFT(B7,1))&gt;2),0,I7+VLOOKUP(VALUE(LEFT(B7,1)),'Các bảng tham chiếu &amp; Thống kê'!$E$3:$F$5,2,FALSE())),1)</f>
        <v>5</v>
      </c>
      <c r="K7" s="21" t="str">
        <f>VLOOKUP(J7,'Các bảng tham chiếu &amp; Thống kê'!$A$3:$B$10,2,TRUE())</f>
        <v>D+</v>
      </c>
    </row>
    <row r="8" spans="1:11" ht="15" customHeight="1">
      <c r="A8" s="13">
        <v>2</v>
      </c>
      <c r="B8" s="15" t="s">
        <v>22</v>
      </c>
      <c r="C8" s="14" t="str">
        <f>VLOOKUP(RIGHT(B8,8),'Các bảng tham chiếu &amp; Thống kê'!$B$14:$C$27,2,FALSE())</f>
        <v>Lý Minh Trí</v>
      </c>
      <c r="D8" s="14">
        <f>VLOOKUP(RIGHT(B8,8),'Điểm thực hành các buổi'!$B$3:$F$16,3,FALSE())</f>
        <v>0.5</v>
      </c>
      <c r="E8" s="14">
        <f>VLOOKUP(RIGHT(B8,8),'Điểm thực hành các buổi'!$B$3:$F$16,4,FALSE())</f>
        <v>0.35</v>
      </c>
      <c r="F8" s="14">
        <f>VLOOKUP(RIGHT(B8,8),'Điểm thực hành các buổi'!$B$3:$F$16,5,FALSE())</f>
        <v>0.4</v>
      </c>
      <c r="G8" s="14">
        <f>VLOOKUP(RIGHT(B8,8),'Điểm bài tập lớn'!$B$3:$D$16,3,FALSE())</f>
        <v>1</v>
      </c>
      <c r="H8" s="14">
        <f>VLOOKUP(RIGHT(B8,8),'Điểm lý thuyết'!$B$3:$D$16,3,FALSE())</f>
        <v>5.8</v>
      </c>
      <c r="I8" s="14">
        <f t="shared" si="0"/>
        <v>5.7</v>
      </c>
      <c r="J8" s="21">
        <f>ROUND(IF(OR(G8=0,VALUE(LEFT(B8,1))&gt;2),0,I8+VLOOKUP(VALUE(LEFT(B8,1)),'Các bảng tham chiếu &amp; Thống kê'!$E$3:$F$5,2,FALSE())),1)</f>
        <v>6.2</v>
      </c>
      <c r="K8" s="21" t="str">
        <f>VLOOKUP(J8,'Các bảng tham chiếu &amp; Thống kê'!$A$3:$B$10,2,TRUE())</f>
        <v>C</v>
      </c>
    </row>
    <row r="9" spans="1:11" ht="15" customHeight="1">
      <c r="A9" s="13">
        <v>3</v>
      </c>
      <c r="B9" s="15" t="s">
        <v>23</v>
      </c>
      <c r="C9" s="14" t="str">
        <f>VLOOKUP(RIGHT(B9,8),'Các bảng tham chiếu &amp; Thống kê'!$B$14:$C$27,2,FALSE())</f>
        <v>Nguyễn Kiều Mi</v>
      </c>
      <c r="D9">
        <f>VLOOKUP(RIGHT(B9,8),'Điểm thực hành các buổi'!$B$3:$F$16,3,FALSE())</f>
        <v>0.25</v>
      </c>
      <c r="E9" s="14">
        <f>VLOOKUP(RIGHT(B9,8),'Điểm thực hành các buổi'!$B$3:$F$16,4,FALSE())</f>
        <v>0.25</v>
      </c>
      <c r="F9" s="14">
        <f>VLOOKUP(RIGHT(B9,8),'Điểm thực hành các buổi'!$B$3:$F$16,5,FALSE())</f>
        <v>0.3</v>
      </c>
      <c r="G9" s="14">
        <f>VLOOKUP(RIGHT(B9,8),'Điểm bài tập lớn'!$B$3:$D$16,3,FALSE())</f>
        <v>0.5</v>
      </c>
      <c r="H9" s="14">
        <f>VLOOKUP(RIGHT(B9,8),'Điểm lý thuyết'!$B$3:$D$16,3,FALSE())</f>
        <v>5.8</v>
      </c>
      <c r="I9" s="14">
        <f t="shared" si="0"/>
        <v>4.8</v>
      </c>
      <c r="J9" s="21">
        <f>ROUND(IF(OR(G9=0,VALUE(LEFT(B9,1))&gt;2),0,I9+VLOOKUP(VALUE(LEFT(B9,1)),'Các bảng tham chiếu &amp; Thống kê'!$E$3:$F$5,2,FALSE())),1)</f>
        <v>5.8</v>
      </c>
      <c r="K9" s="21" t="str">
        <f>VLOOKUP(J9,'Các bảng tham chiếu &amp; Thống kê'!$A$3:$B$10,2,TRUE())</f>
        <v>C</v>
      </c>
    </row>
    <row r="10" spans="1:11" ht="15" customHeight="1">
      <c r="A10" s="13">
        <v>4</v>
      </c>
      <c r="B10" s="15" t="s">
        <v>24</v>
      </c>
      <c r="C10" s="14" t="str">
        <f>VLOOKUP(RIGHT(B10,8),'Các bảng tham chiếu &amp; Thống kê'!$B$14:$C$27,2,FALSE())</f>
        <v>Đặng Duy Linh</v>
      </c>
      <c r="D10" s="14">
        <f>VLOOKUP(RIGHT(B10,8),'Điểm thực hành các buổi'!$B$3:$F$16,3,FALSE())</f>
        <v>0.4</v>
      </c>
      <c r="E10" s="14">
        <f>VLOOKUP(RIGHT(B10,8),'Điểm thực hành các buổi'!$B$3:$F$16,4,FALSE())</f>
        <v>0.25</v>
      </c>
      <c r="F10" s="14">
        <f>VLOOKUP(RIGHT(B10,8),'Điểm thực hành các buổi'!$B$3:$F$16,5,FALSE())</f>
        <v>0.35</v>
      </c>
      <c r="G10" s="14">
        <f>VLOOKUP(RIGHT(B10,8),'Điểm bài tập lớn'!$B$3:$D$16,3,FALSE())</f>
        <v>1</v>
      </c>
      <c r="H10" s="14">
        <f>VLOOKUP(RIGHT(B10,8),'Điểm lý thuyết'!$B$3:$D$16,3,FALSE())</f>
        <v>4.5</v>
      </c>
      <c r="I10" s="14">
        <f t="shared" si="0"/>
        <v>4.7</v>
      </c>
      <c r="J10" s="21">
        <f>ROUND(IF(OR(G10=0,VALUE(LEFT(B10,1))&gt;2),0,I10+VLOOKUP(VALUE(LEFT(B10,1)),'Các bảng tham chiếu &amp; Thống kê'!$E$3:$F$5,2,FALSE())),1)</f>
        <v>5.7</v>
      </c>
      <c r="K10" s="21" t="str">
        <f>VLOOKUP(J10,'Các bảng tham chiếu &amp; Thống kê'!$A$3:$B$10,2,TRUE())</f>
        <v>C</v>
      </c>
    </row>
    <row r="11" spans="1:11" ht="15" customHeight="1">
      <c r="A11" s="13">
        <v>5</v>
      </c>
      <c r="B11" s="15" t="s">
        <v>25</v>
      </c>
      <c r="C11" s="14" t="str">
        <f>VLOOKUP(RIGHT(B11,8),'Các bảng tham chiếu &amp; Thống kê'!$B$14:$C$27,2,FALSE())</f>
        <v>Lê Thị Trúc Linh</v>
      </c>
      <c r="D11" s="14">
        <f>VLOOKUP(RIGHT(B11,8),'Điểm thực hành các buổi'!$B$3:$F$16,3,FALSE())</f>
        <v>0.45</v>
      </c>
      <c r="E11" s="14">
        <f>VLOOKUP(RIGHT(B11,8),'Điểm thực hành các buổi'!$B$3:$F$16,4,FALSE())</f>
        <v>0.4</v>
      </c>
      <c r="F11" s="14">
        <f>VLOOKUP(RIGHT(B11,8),'Điểm thực hành các buổi'!$B$3:$F$16,5,FALSE())</f>
        <v>0.35</v>
      </c>
      <c r="G11" s="14">
        <f>VLOOKUP(RIGHT(B11,8),'Điểm bài tập lớn'!$B$3:$D$16,3,FALSE())</f>
        <v>0.75</v>
      </c>
      <c r="H11" s="14">
        <f>VLOOKUP(RIGHT(B11,8),'Điểm lý thuyết'!$B$3:$D$16,3,FALSE())</f>
        <v>5.5</v>
      </c>
      <c r="I11" s="14">
        <f t="shared" si="0"/>
        <v>5.3</v>
      </c>
      <c r="J11" s="21">
        <f>ROUND(IF(OR(G11=0,VALUE(LEFT(B11,1))&gt;2),0,I11+VLOOKUP(VALUE(LEFT(B11,1)),'Các bảng tham chiếu &amp; Thống kê'!$E$3:$F$5,2,FALSE())),1)</f>
        <v>5.6</v>
      </c>
      <c r="K11" s="21" t="str">
        <f>VLOOKUP(J11,'Các bảng tham chiếu &amp; Thống kê'!$A$3:$B$10,2,TRUE())</f>
        <v>C</v>
      </c>
    </row>
    <row r="12" spans="1:11" ht="15" customHeight="1">
      <c r="A12" s="13">
        <v>6</v>
      </c>
      <c r="B12" s="15" t="s">
        <v>26</v>
      </c>
      <c r="C12" s="14" t="str">
        <f>VLOOKUP(RIGHT(B12,8),'Các bảng tham chiếu &amp; Thống kê'!$B$14:$C$27,2,FALSE())</f>
        <v>Phạm Thị Huỳnh</v>
      </c>
      <c r="D12" s="14">
        <f>VLOOKUP(RIGHT(B12,8),'Điểm thực hành các buổi'!$B$3:$F$16,3,FALSE())</f>
        <v>0.4</v>
      </c>
      <c r="E12" s="14">
        <f>VLOOKUP(RIGHT(B12,8),'Điểm thực hành các buổi'!$B$3:$F$16,4,FALSE())</f>
        <v>0.45</v>
      </c>
      <c r="F12" s="14">
        <f>VLOOKUP(RIGHT(B12,8),'Điểm thực hành các buổi'!$B$3:$F$16,5,FALSE())</f>
        <v>0.5</v>
      </c>
      <c r="G12" s="14">
        <f>VLOOKUP(RIGHT(B12,8),'Điểm bài tập lớn'!$B$3:$D$16,3,FALSE())</f>
        <v>1.2</v>
      </c>
      <c r="H12" s="14">
        <f>VLOOKUP(RIGHT(B12,8),'Điểm lý thuyết'!$B$3:$D$16,3,FALSE())</f>
        <v>7.5</v>
      </c>
      <c r="I12" s="14">
        <f t="shared" si="0"/>
        <v>7.1</v>
      </c>
      <c r="J12" s="21">
        <f>ROUND(IF(OR(G12=0,VALUE(LEFT(B12,1))&gt;2),0,I12+VLOOKUP(VALUE(LEFT(B12,1)),'Các bảng tham chiếu &amp; Thống kê'!$E$3:$F$5,2,FALSE())),1)</f>
        <v>8.1</v>
      </c>
      <c r="K12" s="21" t="str">
        <f>VLOOKUP(J12,'Các bảng tham chiếu &amp; Thống kê'!$A$3:$B$10,2,TRUE())</f>
        <v>B+</v>
      </c>
    </row>
    <row r="13" spans="1:11" ht="15" customHeight="1">
      <c r="A13" s="13">
        <v>7</v>
      </c>
      <c r="B13" s="15" t="s">
        <v>27</v>
      </c>
      <c r="C13" s="14" t="str">
        <f>VLOOKUP(RIGHT(B13,8),'Các bảng tham chiếu &amp; Thống kê'!$B$14:$C$27,2,FALSE())</f>
        <v>Lê Minh Thông</v>
      </c>
      <c r="D13" s="14">
        <f>VLOOKUP(RIGHT(B13,8),'Điểm thực hành các buổi'!$B$3:$F$16,3,FALSE())</f>
        <v>0.4</v>
      </c>
      <c r="E13" s="14">
        <f>VLOOKUP(RIGHT(B13,8),'Điểm thực hành các buổi'!$B$3:$F$16,4,FALSE())</f>
        <v>0.4</v>
      </c>
      <c r="F13" s="14">
        <f>VLOOKUP(RIGHT(B13,8),'Điểm thực hành các buổi'!$B$3:$F$16,5,FALSE())</f>
        <v>0.4</v>
      </c>
      <c r="G13" s="14">
        <f>VLOOKUP(RIGHT(B13,8),'Điểm bài tập lớn'!$B$3:$D$16,3,FALSE())</f>
        <v>1</v>
      </c>
      <c r="H13" s="14">
        <f>VLOOKUP(RIGHT(B13,8),'Điểm lý thuyết'!$B$3:$D$16,3,FALSE())</f>
        <v>5.3</v>
      </c>
      <c r="I13" s="14">
        <f t="shared" si="0"/>
        <v>5.4</v>
      </c>
      <c r="J13" s="21">
        <f>ROUND(IF(OR(G13=0,VALUE(LEFT(B13,1))&gt;2),0,I13+VLOOKUP(VALUE(LEFT(B13,1)),'Các bảng tham chiếu &amp; Thống kê'!$E$3:$F$5,2,FALSE())),1)</f>
        <v>6.4</v>
      </c>
      <c r="K13" s="21" t="str">
        <f>VLOOKUP(J13,'Các bảng tham chiếu &amp; Thống kê'!$A$3:$B$10,2,TRUE())</f>
        <v>C</v>
      </c>
    </row>
    <row r="14" spans="1:11" ht="15" customHeight="1">
      <c r="A14" s="13">
        <v>8</v>
      </c>
      <c r="B14" s="15" t="s">
        <v>28</v>
      </c>
      <c r="C14" s="14" t="str">
        <f>VLOOKUP(RIGHT(B14,8),'Các bảng tham chiếu &amp; Thống kê'!$B$14:$C$27,2,FALSE())</f>
        <v>Huỳnh Thị Diễm</v>
      </c>
      <c r="D14" s="14">
        <f>VLOOKUP(RIGHT(B14,8),'Điểm thực hành các buổi'!$B$3:$F$16,3,FALSE())</f>
        <v>0.45</v>
      </c>
      <c r="E14" s="14">
        <f>VLOOKUP(RIGHT(B14,8),'Điểm thực hành các buổi'!$B$3:$F$16,4,FALSE())</f>
        <v>0.4</v>
      </c>
      <c r="F14" s="14">
        <f>VLOOKUP(RIGHT(B14,8),'Điểm thực hành các buổi'!$B$3:$F$16,5,FALSE())</f>
        <v>0.45</v>
      </c>
      <c r="G14" s="14">
        <f>VLOOKUP(RIGHT(B14,8),'Điểm bài tập lớn'!$B$3:$D$16,3,FALSE())</f>
        <v>0</v>
      </c>
      <c r="H14" s="14">
        <f>VLOOKUP(RIGHT(B14,8),'Điểm lý thuyết'!$B$3:$D$16,3,FALSE())</f>
        <v>6.8</v>
      </c>
      <c r="I14" s="14">
        <f t="shared" si="0"/>
        <v>5.4</v>
      </c>
      <c r="J14" s="21">
        <f>ROUND(IF(OR(G14=0,VALUE(LEFT(B14,1))&gt;2),0,I14+VLOOKUP(VALUE(LEFT(B14,1)),'Các bảng tham chiếu &amp; Thống kê'!$E$3:$F$5,2,FALSE())),1)</f>
        <v>0</v>
      </c>
      <c r="K14" s="21" t="str">
        <f>VLOOKUP(J14,'Các bảng tham chiếu &amp; Thống kê'!$A$3:$B$10,2,TRUE())</f>
        <v>F</v>
      </c>
    </row>
    <row r="15" spans="1:11" ht="15" customHeight="1">
      <c r="A15" s="13">
        <v>9</v>
      </c>
      <c r="B15" s="15" t="s">
        <v>29</v>
      </c>
      <c r="C15" s="14" t="str">
        <f>VLOOKUP(RIGHT(B15,8),'Các bảng tham chiếu &amp; Thống kê'!$B$14:$C$27,2,FALSE())</f>
        <v>Trần Thanh Nguyên</v>
      </c>
      <c r="D15" s="14">
        <f>VLOOKUP(RIGHT(B15,8),'Điểm thực hành các buổi'!$B$3:$F$16,3,FALSE())</f>
        <v>0.45</v>
      </c>
      <c r="E15" s="14">
        <f>VLOOKUP(RIGHT(B15,8),'Điểm thực hành các buổi'!$B$3:$F$16,4,FALSE())</f>
        <v>0.4</v>
      </c>
      <c r="F15" s="14">
        <f>VLOOKUP(RIGHT(B15,8),'Điểm thực hành các buổi'!$B$3:$F$16,5,FALSE())</f>
        <v>0.4</v>
      </c>
      <c r="G15" s="14">
        <f>VLOOKUP(RIGHT(B15,8),'Điểm bài tập lớn'!$B$3:$D$16,3,FALSE())</f>
        <v>0.75</v>
      </c>
      <c r="H15" s="14">
        <f>VLOOKUP(RIGHT(B15,8),'Điểm lý thuyết'!$B$3:$D$16,3,FALSE())</f>
        <v>6.3</v>
      </c>
      <c r="I15" s="14">
        <f t="shared" si="0"/>
        <v>5.8</v>
      </c>
      <c r="J15" s="21">
        <f>ROUND(IF(OR(G15=0,VALUE(LEFT(B15,1))&gt;2),0,I15+VLOOKUP(VALUE(LEFT(B15,1)),'Các bảng tham chiếu &amp; Thống kê'!$E$3:$F$5,2,FALSE())),1)</f>
        <v>6.8</v>
      </c>
      <c r="K15" s="21" t="str">
        <f>VLOOKUP(J15,'Các bảng tham chiếu &amp; Thống kê'!$A$3:$B$10,2,TRUE())</f>
        <v>C+</v>
      </c>
    </row>
    <row r="16" spans="1:11" ht="15" customHeight="1">
      <c r="A16" s="13">
        <v>10</v>
      </c>
      <c r="B16" s="15" t="s">
        <v>30</v>
      </c>
      <c r="C16" s="14" t="str">
        <f>VLOOKUP(RIGHT(B16,8),'Các bảng tham chiếu &amp; Thống kê'!$B$14:$C$27,2,FALSE())</f>
        <v>Nguyễn Thị Đào</v>
      </c>
      <c r="D16" s="14">
        <f>VLOOKUP(RIGHT(B16,8),'Điểm thực hành các buổi'!$B$3:$F$16,3,FALSE())</f>
        <v>0.3</v>
      </c>
      <c r="E16" s="14">
        <f>VLOOKUP(RIGHT(B16,8),'Điểm thực hành các buổi'!$B$3:$F$16,4,FALSE())</f>
        <v>0.5</v>
      </c>
      <c r="F16" s="14">
        <f>VLOOKUP(RIGHT(B16,8),'Điểm thực hành các buổi'!$B$3:$F$16,5,FALSE())</f>
        <v>0.45</v>
      </c>
      <c r="G16" s="14">
        <f>VLOOKUP(RIGHT(B16,8),'Điểm bài tập lớn'!$B$3:$D$16,3,FALSE())</f>
        <v>0.3</v>
      </c>
      <c r="H16" s="14">
        <f>VLOOKUP(RIGHT(B16,8),'Điểm lý thuyết'!$B$3:$D$16,3,FALSE())</f>
        <v>8.3000000000000007</v>
      </c>
      <c r="I16" s="14">
        <f t="shared" si="0"/>
        <v>6.5</v>
      </c>
      <c r="J16" s="21">
        <f>ROUND(IF(OR(G16=0,VALUE(LEFT(B16,1))&gt;2),0,I16+VLOOKUP(VALUE(LEFT(B16,1)),'Các bảng tham chiếu &amp; Thống kê'!$E$3:$F$5,2,FALSE())),1)</f>
        <v>7</v>
      </c>
      <c r="K16" s="21" t="str">
        <f>VLOOKUP(J16,'Các bảng tham chiếu &amp; Thống kê'!$A$3:$B$10,2,TRUE())</f>
        <v>B</v>
      </c>
    </row>
    <row r="17" spans="1:11" ht="15" customHeight="1">
      <c r="A17" s="13">
        <v>11</v>
      </c>
      <c r="B17" s="15" t="s">
        <v>31</v>
      </c>
      <c r="C17" s="14" t="str">
        <f>VLOOKUP(RIGHT(B17,8),'Các bảng tham chiếu &amp; Thống kê'!$B$14:$C$27,2,FALSE())</f>
        <v>Nguyễn Chí Thanh</v>
      </c>
      <c r="D17" s="14">
        <f>VLOOKUP(RIGHT(B17,8),'Điểm thực hành các buổi'!$B$3:$F$16,3,FALSE())</f>
        <v>0.4</v>
      </c>
      <c r="E17" s="14">
        <f>VLOOKUP(RIGHT(B17,8),'Điểm thực hành các buổi'!$B$3:$F$16,4,FALSE())</f>
        <v>0.45</v>
      </c>
      <c r="F17" s="14">
        <f>VLOOKUP(RIGHT(B17,8),'Điểm thực hành các buổi'!$B$3:$F$16,5,FALSE())</f>
        <v>0.4</v>
      </c>
      <c r="G17" s="14">
        <f>VLOOKUP(RIGHT(B17,8),'Điểm bài tập lớn'!$B$3:$D$16,3,FALSE())</f>
        <v>0.3</v>
      </c>
      <c r="H17" s="14">
        <f>VLOOKUP(RIGHT(B17,8),'Điểm lý thuyết'!$B$3:$D$16,3,FALSE())</f>
        <v>-3</v>
      </c>
      <c r="I17" s="14">
        <f t="shared" si="0"/>
        <v>0</v>
      </c>
      <c r="J17" s="21">
        <f>ROUND(IF(OR(G17=0,VALUE(LEFT(B17,1))&gt;2),0,I17+VLOOKUP(VALUE(LEFT(B17,1)),'Các bảng tham chiếu &amp; Thống kê'!$E$3:$F$5,2,FALSE())),1)</f>
        <v>0</v>
      </c>
      <c r="K17" s="21" t="str">
        <f>VLOOKUP(J17,'Các bảng tham chiếu &amp; Thống kê'!$A$3:$B$10,2,TRUE())</f>
        <v>F</v>
      </c>
    </row>
    <row r="18" spans="1:11" ht="15" customHeight="1">
      <c r="A18" s="13">
        <v>12</v>
      </c>
      <c r="B18" s="15" t="s">
        <v>32</v>
      </c>
      <c r="C18" s="14" t="str">
        <f>VLOOKUP(RIGHT(B18,8),'Các bảng tham chiếu &amp; Thống kê'!$B$14:$C$27,2,FALSE())</f>
        <v>Nguyễn Hải Anh</v>
      </c>
      <c r="D18" s="14">
        <f>VLOOKUP(RIGHT(B18,8),'Điểm thực hành các buổi'!$B$3:$F$16,3,FALSE())</f>
        <v>0.5</v>
      </c>
      <c r="E18" s="14">
        <f>VLOOKUP(RIGHT(B18,8),'Điểm thực hành các buổi'!$B$3:$F$16,4,FALSE())</f>
        <v>0.5</v>
      </c>
      <c r="F18" s="14">
        <f>VLOOKUP(RIGHT(B18,8),'Điểm thực hành các buổi'!$B$3:$F$16,5,FALSE())</f>
        <v>0.45</v>
      </c>
      <c r="G18" s="14">
        <f>VLOOKUP(RIGHT(B18,8),'Điểm bài tập lớn'!$B$3:$D$16,3,FALSE())</f>
        <v>1.5</v>
      </c>
      <c r="H18" s="14">
        <f>VLOOKUP(RIGHT(B18,8),'Điểm lý thuyết'!$B$3:$D$16,3,FALSE())</f>
        <v>7</v>
      </c>
      <c r="I18" s="14">
        <f t="shared" si="0"/>
        <v>7.2</v>
      </c>
      <c r="J18" s="21">
        <f>ROUND(IF(OR(G18=0,VALUE(LEFT(B18,1))&gt;2),0,I18+VLOOKUP(VALUE(LEFT(B18,1)),'Các bảng tham chiếu &amp; Thống kê'!$E$3:$F$5,2,FALSE())),1)</f>
        <v>7.5</v>
      </c>
      <c r="K18" s="21" t="str">
        <f>VLOOKUP(J18,'Các bảng tham chiếu &amp; Thống kê'!$A$3:$B$10,2,TRUE())</f>
        <v>B</v>
      </c>
    </row>
    <row r="19" spans="1:11" ht="15" customHeight="1">
      <c r="A19" s="22">
        <v>13</v>
      </c>
      <c r="B19" s="15" t="s">
        <v>33</v>
      </c>
      <c r="C19" s="23" t="str">
        <f>VLOOKUP(RIGHT(B19,8),'Các bảng tham chiếu &amp; Thống kê'!$B$14:$C$27,2,FALSE())</f>
        <v>Trần Nam Dương</v>
      </c>
      <c r="D19" s="23">
        <f>VLOOKUP(RIGHT(B19,8),'Điểm thực hành các buổi'!$B$3:$F$16,3,FALSE())</f>
        <v>0.4</v>
      </c>
      <c r="E19" s="23">
        <f>VLOOKUP(RIGHT(B19,8),'Điểm thực hành các buổi'!$B$3:$F$16,4,FALSE())</f>
        <v>0.4</v>
      </c>
      <c r="F19" s="23">
        <f>VLOOKUP(RIGHT(B19,8),'Điểm thực hành các buổi'!$B$3:$F$16,5,FALSE())</f>
        <v>0.35</v>
      </c>
      <c r="G19" s="23">
        <f>VLOOKUP(RIGHT(B19,8),'Điểm bài tập lớn'!$B$3:$D$16,3,FALSE())</f>
        <v>1.35</v>
      </c>
      <c r="H19" s="23">
        <f>VLOOKUP(RIGHT(B19,8),'Điểm lý thuyết'!$B$3:$D$16,3,FALSE())</f>
        <v>-3</v>
      </c>
      <c r="I19" s="23">
        <f t="shared" si="0"/>
        <v>0</v>
      </c>
      <c r="J19" s="24">
        <f>ROUND(IF(OR(G19=0,VALUE(LEFT(B19,1))&gt;2),0,I19+VLOOKUP(VALUE(LEFT(B19,1)),'Các bảng tham chiếu &amp; Thống kê'!$E$3:$F$5,2,FALSE())),1)</f>
        <v>0</v>
      </c>
      <c r="K19" s="24" t="str">
        <f>VLOOKUP(J19,'Các bảng tham chiếu &amp; Thống kê'!$A$3:$B$10,2,TRUE())</f>
        <v>F</v>
      </c>
    </row>
    <row r="20" spans="1:11" ht="15" customHeight="1">
      <c r="A20" s="13">
        <v>14</v>
      </c>
      <c r="B20" s="25" t="s">
        <v>34</v>
      </c>
      <c r="C20" s="13" t="str">
        <f>VLOOKUP(RIGHT(B20,8),'Các bảng tham chiếu &amp; Thống kê'!$B$14:$C$27,2,FALSE())</f>
        <v>Nguyễn Duy Khanh</v>
      </c>
      <c r="D20" s="13">
        <f>VLOOKUP(RIGHT(B20,8),'Điểm thực hành các buổi'!$B$3:$F$16,3,FALSE())</f>
        <v>0.35</v>
      </c>
      <c r="E20" s="13">
        <f>VLOOKUP(RIGHT(B20,8),'Điểm thực hành các buổi'!$B$3:$F$16,4,FALSE())</f>
        <v>0.4</v>
      </c>
      <c r="F20" s="13">
        <f>VLOOKUP(RIGHT(B20,8),'Điểm thực hành các buổi'!$B$3:$F$16,5,FALSE())</f>
        <v>0</v>
      </c>
      <c r="G20" s="13">
        <f>VLOOKUP(RIGHT(B20,8),'Điểm bài tập lớn'!$B$3:$D$16,3,FALSE())</f>
        <v>0.85</v>
      </c>
      <c r="H20" s="13">
        <f>VLOOKUP(RIGHT(B20,8),'Điểm lý thuyết'!$B$3:$D$16,3,FALSE())</f>
        <v>6.5</v>
      </c>
      <c r="I20" s="13">
        <f t="shared" si="0"/>
        <v>5.5</v>
      </c>
      <c r="J20" s="26">
        <f>ROUND(IF(OR(G20=0,VALUE(LEFT(B20,1))&gt;2),0,I20+VLOOKUP(VALUE(LEFT(B20,1)),'Các bảng tham chiếu &amp; Thống kê'!$E$3:$F$5,2,FALSE())),1)</f>
        <v>6.5</v>
      </c>
      <c r="K20" s="26" t="str">
        <f>VLOOKUP(J20,'Các bảng tham chiếu &amp; Thống kê'!$A$3:$B$10,2,TRUE())</f>
        <v>C+</v>
      </c>
    </row>
    <row r="21" spans="1:11" ht="14.25" customHeight="1">
      <c r="B21" s="12"/>
      <c r="C21" s="12"/>
      <c r="D21" s="12"/>
      <c r="E21" s="12"/>
      <c r="F21" s="12"/>
      <c r="G21" s="12"/>
      <c r="H21" s="12"/>
      <c r="I21" s="12"/>
      <c r="J21" s="12"/>
      <c r="K21" s="12"/>
    </row>
  </sheetData>
  <autoFilter ref="A6:K20" xr:uid="{00000000-0009-0000-0000-000000000000}"/>
  <mergeCells count="7">
    <mergeCell ref="D4:E4"/>
    <mergeCell ref="F4:H4"/>
    <mergeCell ref="B1:H1"/>
    <mergeCell ref="D2:E2"/>
    <mergeCell ref="F2:H2"/>
    <mergeCell ref="D3:E3"/>
    <mergeCell ref="F3:H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76" zoomScaleNormal="76" workbookViewId="0">
      <selection activeCell="C11" sqref="C11"/>
    </sheetView>
  </sheetViews>
  <sheetFormatPr defaultColWidth="8.59765625" defaultRowHeight="14.25" customHeight="1"/>
  <cols>
    <col min="1" max="1" width="7.59765625" customWidth="1"/>
    <col min="2" max="2" width="16.1328125" customWidth="1"/>
    <col min="3" max="3" width="31.796875" customWidth="1"/>
    <col min="4" max="6" width="16.59765625" customWidth="1"/>
  </cols>
  <sheetData>
    <row r="1" spans="1:6" ht="19.5" customHeight="1">
      <c r="A1" s="9" t="s">
        <v>35</v>
      </c>
      <c r="B1" s="9"/>
      <c r="C1" s="9"/>
      <c r="D1" s="9"/>
      <c r="E1" s="9"/>
      <c r="F1" s="9"/>
    </row>
    <row r="2" spans="1:6" ht="15" customHeight="1">
      <c r="A2" s="27" t="s">
        <v>10</v>
      </c>
      <c r="B2" s="27" t="s">
        <v>11</v>
      </c>
      <c r="C2" s="27" t="s">
        <v>12</v>
      </c>
      <c r="D2" s="27" t="s">
        <v>13</v>
      </c>
      <c r="E2" s="27" t="s">
        <v>14</v>
      </c>
      <c r="F2" s="27" t="s">
        <v>15</v>
      </c>
    </row>
    <row r="3" spans="1:6" ht="15.75" customHeight="1">
      <c r="A3" s="28">
        <v>1</v>
      </c>
      <c r="B3" s="29" t="s">
        <v>36</v>
      </c>
      <c r="C3" s="30" t="s">
        <v>37</v>
      </c>
      <c r="D3" s="31">
        <v>0.45</v>
      </c>
      <c r="E3" s="31">
        <v>0.25</v>
      </c>
      <c r="F3" s="31">
        <v>0.3</v>
      </c>
    </row>
    <row r="4" spans="1:6" ht="15.75" customHeight="1">
      <c r="A4" s="28">
        <v>2</v>
      </c>
      <c r="B4" s="29" t="s">
        <v>38</v>
      </c>
      <c r="C4" s="30" t="s">
        <v>39</v>
      </c>
      <c r="D4" s="31">
        <v>0.5</v>
      </c>
      <c r="E4" s="31">
        <v>0.35</v>
      </c>
      <c r="F4" s="31">
        <v>0.4</v>
      </c>
    </row>
    <row r="5" spans="1:6" ht="15.75" customHeight="1">
      <c r="A5" s="28">
        <v>3</v>
      </c>
      <c r="B5" s="29" t="s">
        <v>40</v>
      </c>
      <c r="C5" s="30" t="s">
        <v>41</v>
      </c>
      <c r="D5" s="31">
        <v>0.25</v>
      </c>
      <c r="E5" s="31">
        <v>0.25</v>
      </c>
      <c r="F5" s="31">
        <v>0.3</v>
      </c>
    </row>
    <row r="6" spans="1:6" ht="15.75" customHeight="1">
      <c r="A6" s="28">
        <v>4</v>
      </c>
      <c r="B6" s="29" t="s">
        <v>42</v>
      </c>
      <c r="C6" s="30" t="s">
        <v>43</v>
      </c>
      <c r="D6" s="31">
        <v>0.4</v>
      </c>
      <c r="E6" s="31">
        <v>0.25</v>
      </c>
      <c r="F6" s="31">
        <v>0.35</v>
      </c>
    </row>
    <row r="7" spans="1:6" ht="15.75" customHeight="1">
      <c r="A7" s="28">
        <v>5</v>
      </c>
      <c r="B7" s="29" t="s">
        <v>44</v>
      </c>
      <c r="C7" s="30" t="s">
        <v>45</v>
      </c>
      <c r="D7" s="31">
        <v>0.45</v>
      </c>
      <c r="E7" s="31">
        <v>0.4</v>
      </c>
      <c r="F7" s="31">
        <v>0.35</v>
      </c>
    </row>
    <row r="8" spans="1:6" ht="15.75" customHeight="1">
      <c r="A8" s="28">
        <v>6</v>
      </c>
      <c r="B8" s="29" t="s">
        <v>46</v>
      </c>
      <c r="C8" s="30" t="s">
        <v>47</v>
      </c>
      <c r="D8" s="31">
        <v>0.4</v>
      </c>
      <c r="E8" s="31">
        <v>0.45</v>
      </c>
      <c r="F8" s="31">
        <v>0.5</v>
      </c>
    </row>
    <row r="9" spans="1:6" ht="15.75" customHeight="1">
      <c r="A9" s="28">
        <v>7</v>
      </c>
      <c r="B9" s="29" t="s">
        <v>48</v>
      </c>
      <c r="C9" s="30" t="s">
        <v>49</v>
      </c>
      <c r="D9" s="31">
        <v>0.4</v>
      </c>
      <c r="E9" s="31">
        <v>0.4</v>
      </c>
      <c r="F9" s="31">
        <v>0.4</v>
      </c>
    </row>
    <row r="10" spans="1:6" ht="15.75" customHeight="1">
      <c r="A10" s="28">
        <v>8</v>
      </c>
      <c r="B10" s="29" t="s">
        <v>50</v>
      </c>
      <c r="C10" s="30" t="s">
        <v>51</v>
      </c>
      <c r="D10" s="31">
        <v>0.45</v>
      </c>
      <c r="E10" s="31">
        <v>0.4</v>
      </c>
      <c r="F10" s="31">
        <v>0.45</v>
      </c>
    </row>
    <row r="11" spans="1:6" ht="15.75" customHeight="1">
      <c r="A11" s="28">
        <v>9</v>
      </c>
      <c r="B11" s="29" t="s">
        <v>52</v>
      </c>
      <c r="C11" s="30" t="s">
        <v>53</v>
      </c>
      <c r="D11" s="31">
        <v>0.45</v>
      </c>
      <c r="E11" s="31">
        <v>0.4</v>
      </c>
      <c r="F11" s="31">
        <v>0.4</v>
      </c>
    </row>
    <row r="12" spans="1:6" ht="15.75" customHeight="1">
      <c r="A12" s="28">
        <v>10</v>
      </c>
      <c r="B12" s="29" t="s">
        <v>54</v>
      </c>
      <c r="C12" s="30" t="s">
        <v>55</v>
      </c>
      <c r="D12" s="31">
        <v>0.3</v>
      </c>
      <c r="E12" s="31">
        <v>0.5</v>
      </c>
      <c r="F12" s="31">
        <v>0.45</v>
      </c>
    </row>
    <row r="13" spans="1:6" ht="15.75" customHeight="1">
      <c r="A13" s="28">
        <v>11</v>
      </c>
      <c r="B13" s="29" t="s">
        <v>56</v>
      </c>
      <c r="C13" s="30" t="s">
        <v>57</v>
      </c>
      <c r="D13" s="31">
        <v>0.4</v>
      </c>
      <c r="E13" s="31">
        <v>0.45</v>
      </c>
      <c r="F13" s="31">
        <v>0.4</v>
      </c>
    </row>
    <row r="14" spans="1:6" ht="15.75" customHeight="1">
      <c r="A14" s="28">
        <v>12</v>
      </c>
      <c r="B14" s="29" t="s">
        <v>58</v>
      </c>
      <c r="C14" s="30" t="s">
        <v>59</v>
      </c>
      <c r="D14" s="31">
        <v>0.5</v>
      </c>
      <c r="E14" s="31">
        <v>0.5</v>
      </c>
      <c r="F14" s="31">
        <v>0.45</v>
      </c>
    </row>
    <row r="15" spans="1:6" ht="15.75" customHeight="1">
      <c r="A15" s="28">
        <v>13</v>
      </c>
      <c r="B15" s="28" t="s">
        <v>60</v>
      </c>
      <c r="C15" s="30" t="s">
        <v>61</v>
      </c>
      <c r="D15" s="31">
        <v>0.4</v>
      </c>
      <c r="E15" s="31">
        <v>0.4</v>
      </c>
      <c r="F15" s="31">
        <v>0.35</v>
      </c>
    </row>
    <row r="16" spans="1:6" ht="15.75" customHeight="1">
      <c r="A16" s="28">
        <v>14</v>
      </c>
      <c r="B16" s="29" t="s">
        <v>62</v>
      </c>
      <c r="C16" s="30" t="s">
        <v>63</v>
      </c>
      <c r="D16" s="31">
        <v>0.35</v>
      </c>
      <c r="E16" s="31">
        <v>0.4</v>
      </c>
      <c r="F16" s="31">
        <v>0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Normal="100" workbookViewId="0">
      <selection sqref="A1:D1"/>
    </sheetView>
  </sheetViews>
  <sheetFormatPr defaultColWidth="8.59765625" defaultRowHeight="14.25" customHeight="1"/>
  <cols>
    <col min="1" max="1" width="5.9296875" customWidth="1"/>
    <col min="2" max="2" width="15.1328125" customWidth="1"/>
    <col min="3" max="3" width="35.1328125" customWidth="1"/>
    <col min="4" max="4" width="19.1328125" customWidth="1"/>
  </cols>
  <sheetData>
    <row r="1" spans="1:4" ht="19.5" customHeight="1">
      <c r="A1" s="8" t="s">
        <v>64</v>
      </c>
      <c r="B1" s="8"/>
      <c r="C1" s="8"/>
      <c r="D1" s="8"/>
    </row>
    <row r="2" spans="1:4" ht="15" customHeight="1">
      <c r="A2" s="27" t="s">
        <v>10</v>
      </c>
      <c r="B2" s="27" t="s">
        <v>11</v>
      </c>
      <c r="C2" s="27" t="s">
        <v>12</v>
      </c>
      <c r="D2" s="27" t="s">
        <v>65</v>
      </c>
    </row>
    <row r="3" spans="1:4" ht="15.75" customHeight="1">
      <c r="A3" s="28">
        <v>1</v>
      </c>
      <c r="B3" s="32" t="s">
        <v>36</v>
      </c>
      <c r="C3" s="30" t="s">
        <v>37</v>
      </c>
      <c r="D3" s="33">
        <v>0.5</v>
      </c>
    </row>
    <row r="4" spans="1:4" ht="15.75" customHeight="1">
      <c r="A4" s="28">
        <v>2</v>
      </c>
      <c r="B4" s="32" t="s">
        <v>38</v>
      </c>
      <c r="C4" s="30" t="s">
        <v>39</v>
      </c>
      <c r="D4" s="33">
        <v>1</v>
      </c>
    </row>
    <row r="5" spans="1:4" ht="15.75" customHeight="1">
      <c r="A5" s="28">
        <v>3</v>
      </c>
      <c r="B5" s="32" t="s">
        <v>40</v>
      </c>
      <c r="C5" s="30" t="s">
        <v>41</v>
      </c>
      <c r="D5" s="33">
        <v>0.5</v>
      </c>
    </row>
    <row r="6" spans="1:4" ht="15.75" customHeight="1">
      <c r="A6" s="28">
        <v>4</v>
      </c>
      <c r="B6" s="32" t="s">
        <v>42</v>
      </c>
      <c r="C6" s="30" t="s">
        <v>43</v>
      </c>
      <c r="D6" s="33">
        <v>1</v>
      </c>
    </row>
    <row r="7" spans="1:4" ht="15.75" customHeight="1">
      <c r="A7" s="28">
        <v>5</v>
      </c>
      <c r="B7" s="32" t="s">
        <v>44</v>
      </c>
      <c r="C7" s="30" t="s">
        <v>45</v>
      </c>
      <c r="D7" s="33">
        <v>0.75</v>
      </c>
    </row>
    <row r="8" spans="1:4" ht="15.75" customHeight="1">
      <c r="A8" s="28">
        <v>6</v>
      </c>
      <c r="B8" s="32" t="s">
        <v>46</v>
      </c>
      <c r="C8" s="30" t="s">
        <v>47</v>
      </c>
      <c r="D8" s="33">
        <v>1.2</v>
      </c>
    </row>
    <row r="9" spans="1:4" ht="15.75" customHeight="1">
      <c r="A9" s="28">
        <v>7</v>
      </c>
      <c r="B9" s="32" t="s">
        <v>48</v>
      </c>
      <c r="C9" s="30" t="s">
        <v>49</v>
      </c>
      <c r="D9" s="33">
        <v>1</v>
      </c>
    </row>
    <row r="10" spans="1:4" ht="15.75" customHeight="1">
      <c r="A10" s="28">
        <v>8</v>
      </c>
      <c r="B10" s="32" t="s">
        <v>50</v>
      </c>
      <c r="C10" s="30" t="s">
        <v>51</v>
      </c>
      <c r="D10" s="33">
        <v>0</v>
      </c>
    </row>
    <row r="11" spans="1:4" ht="15.75" customHeight="1">
      <c r="A11" s="28">
        <v>9</v>
      </c>
      <c r="B11" s="32" t="s">
        <v>52</v>
      </c>
      <c r="C11" s="30" t="s">
        <v>53</v>
      </c>
      <c r="D11" s="33">
        <v>0.75</v>
      </c>
    </row>
    <row r="12" spans="1:4" ht="15.75" customHeight="1">
      <c r="A12" s="28">
        <v>10</v>
      </c>
      <c r="B12" s="32" t="s">
        <v>54</v>
      </c>
      <c r="C12" s="30" t="s">
        <v>55</v>
      </c>
      <c r="D12" s="33">
        <v>0.3</v>
      </c>
    </row>
    <row r="13" spans="1:4" ht="15.75" customHeight="1">
      <c r="A13" s="28">
        <v>11</v>
      </c>
      <c r="B13" s="32" t="s">
        <v>56</v>
      </c>
      <c r="C13" s="30" t="s">
        <v>57</v>
      </c>
      <c r="D13" s="33">
        <v>0.3</v>
      </c>
    </row>
    <row r="14" spans="1:4" ht="15.75" customHeight="1">
      <c r="A14" s="28">
        <v>12</v>
      </c>
      <c r="B14" s="32" t="s">
        <v>58</v>
      </c>
      <c r="C14" s="30" t="s">
        <v>59</v>
      </c>
      <c r="D14" s="33">
        <v>1.5</v>
      </c>
    </row>
    <row r="15" spans="1:4" ht="15.75" customHeight="1">
      <c r="A15" s="28">
        <v>13</v>
      </c>
      <c r="B15" s="34" t="s">
        <v>60</v>
      </c>
      <c r="C15" s="30" t="s">
        <v>61</v>
      </c>
      <c r="D15" s="33">
        <v>1.35</v>
      </c>
    </row>
    <row r="16" spans="1:4" ht="15.75" customHeight="1">
      <c r="A16" s="28">
        <v>14</v>
      </c>
      <c r="B16" s="32" t="s">
        <v>62</v>
      </c>
      <c r="C16" s="30" t="s">
        <v>63</v>
      </c>
      <c r="D16" s="33">
        <v>0.85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activeCell="E10" sqref="E10"/>
    </sheetView>
  </sheetViews>
  <sheetFormatPr defaultColWidth="8.59765625" defaultRowHeight="14.25" customHeight="1"/>
  <cols>
    <col min="1" max="1" width="7.59765625" customWidth="1"/>
    <col min="2" max="2" width="13.9296875" customWidth="1"/>
    <col min="3" max="3" width="32.33203125" customWidth="1"/>
    <col min="4" max="4" width="21.33203125" customWidth="1"/>
  </cols>
  <sheetData>
    <row r="1" spans="1:4" ht="17.25" customHeight="1">
      <c r="A1" s="7" t="s">
        <v>66</v>
      </c>
      <c r="B1" s="7"/>
      <c r="C1" s="7"/>
      <c r="D1" s="7"/>
    </row>
    <row r="2" spans="1:4" ht="15" customHeight="1">
      <c r="A2" s="35" t="s">
        <v>10</v>
      </c>
      <c r="B2" s="35" t="s">
        <v>11</v>
      </c>
      <c r="C2" s="35" t="s">
        <v>12</v>
      </c>
      <c r="D2" s="35" t="s">
        <v>66</v>
      </c>
    </row>
    <row r="3" spans="1:4" ht="15.75" customHeight="1">
      <c r="A3" s="33">
        <v>1</v>
      </c>
      <c r="B3" s="32" t="s">
        <v>36</v>
      </c>
      <c r="C3" s="30" t="s">
        <v>37</v>
      </c>
      <c r="D3" s="33">
        <v>4.2</v>
      </c>
    </row>
    <row r="4" spans="1:4" ht="15.75" customHeight="1">
      <c r="A4" s="33">
        <v>2</v>
      </c>
      <c r="B4" s="32" t="s">
        <v>38</v>
      </c>
      <c r="C4" s="30" t="s">
        <v>39</v>
      </c>
      <c r="D4" s="33">
        <v>5.8</v>
      </c>
    </row>
    <row r="5" spans="1:4" ht="15.75" customHeight="1">
      <c r="A5" s="33">
        <v>3</v>
      </c>
      <c r="B5" s="32" t="s">
        <v>40</v>
      </c>
      <c r="C5" s="30" t="s">
        <v>41</v>
      </c>
      <c r="D5" s="33">
        <v>5.8</v>
      </c>
    </row>
    <row r="6" spans="1:4" ht="15.75" customHeight="1">
      <c r="A6" s="33">
        <v>4</v>
      </c>
      <c r="B6" s="32" t="s">
        <v>42</v>
      </c>
      <c r="C6" s="30" t="s">
        <v>43</v>
      </c>
      <c r="D6" s="33">
        <v>4.5</v>
      </c>
    </row>
    <row r="7" spans="1:4" ht="15.75" customHeight="1">
      <c r="A7" s="33">
        <v>5</v>
      </c>
      <c r="B7" s="32" t="s">
        <v>44</v>
      </c>
      <c r="C7" s="30" t="s">
        <v>45</v>
      </c>
      <c r="D7" s="33">
        <v>5.5</v>
      </c>
    </row>
    <row r="8" spans="1:4" ht="15.75" customHeight="1">
      <c r="A8" s="33">
        <v>6</v>
      </c>
      <c r="B8" s="32" t="s">
        <v>46</v>
      </c>
      <c r="C8" s="30" t="s">
        <v>47</v>
      </c>
      <c r="D8" s="33">
        <v>7.5</v>
      </c>
    </row>
    <row r="9" spans="1:4" ht="15.75" customHeight="1">
      <c r="A9" s="33">
        <v>7</v>
      </c>
      <c r="B9" s="32" t="s">
        <v>48</v>
      </c>
      <c r="C9" s="30" t="s">
        <v>49</v>
      </c>
      <c r="D9" s="33">
        <v>5.3</v>
      </c>
    </row>
    <row r="10" spans="1:4" ht="15.75" customHeight="1">
      <c r="A10" s="33">
        <v>8</v>
      </c>
      <c r="B10" s="32" t="s">
        <v>50</v>
      </c>
      <c r="C10" s="30" t="s">
        <v>51</v>
      </c>
      <c r="D10" s="33">
        <v>6.8</v>
      </c>
    </row>
    <row r="11" spans="1:4" ht="15.75" customHeight="1">
      <c r="A11" s="33">
        <v>9</v>
      </c>
      <c r="B11" s="32" t="s">
        <v>52</v>
      </c>
      <c r="C11" s="30" t="s">
        <v>53</v>
      </c>
      <c r="D11" s="33">
        <v>6.3</v>
      </c>
    </row>
    <row r="12" spans="1:4" ht="15.75" customHeight="1">
      <c r="A12" s="33">
        <v>10</v>
      </c>
      <c r="B12" s="32" t="s">
        <v>54</v>
      </c>
      <c r="C12" s="30" t="s">
        <v>55</v>
      </c>
      <c r="D12" s="33">
        <v>8.3000000000000007</v>
      </c>
    </row>
    <row r="13" spans="1:4" ht="15.75" customHeight="1">
      <c r="A13" s="33">
        <v>11</v>
      </c>
      <c r="B13" s="32" t="s">
        <v>56</v>
      </c>
      <c r="C13" s="30" t="s">
        <v>57</v>
      </c>
      <c r="D13" s="33">
        <v>-3</v>
      </c>
    </row>
    <row r="14" spans="1:4" ht="15.75" customHeight="1">
      <c r="A14" s="33">
        <v>12</v>
      </c>
      <c r="B14" s="32" t="s">
        <v>58</v>
      </c>
      <c r="C14" s="30" t="s">
        <v>59</v>
      </c>
      <c r="D14" s="33">
        <v>7</v>
      </c>
    </row>
    <row r="15" spans="1:4" ht="15.75" customHeight="1">
      <c r="A15" s="33">
        <v>13</v>
      </c>
      <c r="B15" s="34" t="s">
        <v>60</v>
      </c>
      <c r="C15" s="30" t="s">
        <v>61</v>
      </c>
      <c r="D15" s="33">
        <v>-3</v>
      </c>
    </row>
    <row r="16" spans="1:4" ht="15.75" customHeight="1">
      <c r="A16" s="33">
        <v>14</v>
      </c>
      <c r="B16" s="32" t="s">
        <v>62</v>
      </c>
      <c r="C16" s="30" t="s">
        <v>63</v>
      </c>
      <c r="D16" s="33">
        <v>6.5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9"/>
  <sheetViews>
    <sheetView topLeftCell="E36" zoomScaleNormal="100" workbookViewId="0">
      <selection activeCell="C27" sqref="C27"/>
    </sheetView>
  </sheetViews>
  <sheetFormatPr defaultColWidth="8.59765625" defaultRowHeight="14.25" customHeight="1"/>
  <cols>
    <col min="1" max="1" width="18.796875" customWidth="1"/>
    <col min="2" max="2" width="16.3984375" customWidth="1"/>
    <col min="3" max="3" width="34.796875" style="14" customWidth="1"/>
    <col min="4" max="4" width="9.06640625" customWidth="1"/>
    <col min="5" max="5" width="26.9296875" style="14" customWidth="1"/>
    <col min="6" max="6" width="38.1328125" customWidth="1"/>
  </cols>
  <sheetData>
    <row r="1" spans="1:6" ht="19.5" customHeight="1">
      <c r="A1" s="6" t="s">
        <v>67</v>
      </c>
      <c r="B1" s="6"/>
      <c r="C1" s="6"/>
      <c r="E1" s="5" t="s">
        <v>68</v>
      </c>
      <c r="F1" s="5"/>
    </row>
    <row r="2" spans="1:6" ht="14.25" customHeight="1">
      <c r="A2" s="37" t="s">
        <v>69</v>
      </c>
      <c r="B2" s="38" t="s">
        <v>20</v>
      </c>
      <c r="C2" s="37" t="s">
        <v>70</v>
      </c>
      <c r="E2" s="36" t="s">
        <v>71</v>
      </c>
      <c r="F2" s="39" t="s">
        <v>72</v>
      </c>
    </row>
    <row r="3" spans="1:6" ht="14.25" customHeight="1">
      <c r="A3" s="14">
        <v>0</v>
      </c>
      <c r="B3" s="40" t="s">
        <v>73</v>
      </c>
      <c r="C3" s="14">
        <v>0</v>
      </c>
      <c r="E3" s="41">
        <v>0</v>
      </c>
      <c r="F3" s="42">
        <v>1</v>
      </c>
    </row>
    <row r="4" spans="1:6" ht="14.25" customHeight="1">
      <c r="A4" s="14">
        <v>4</v>
      </c>
      <c r="B4" s="40" t="s">
        <v>74</v>
      </c>
      <c r="C4" s="14">
        <v>1</v>
      </c>
      <c r="E4" s="33">
        <v>1</v>
      </c>
      <c r="F4" s="42">
        <v>0.5</v>
      </c>
    </row>
    <row r="5" spans="1:6" ht="14.25" customHeight="1">
      <c r="A5" s="14">
        <v>5</v>
      </c>
      <c r="B5" s="40" t="s">
        <v>75</v>
      </c>
      <c r="C5" s="14">
        <v>1.5</v>
      </c>
      <c r="E5" s="33">
        <v>2</v>
      </c>
      <c r="F5" s="14">
        <v>0.25</v>
      </c>
    </row>
    <row r="6" spans="1:6" ht="14.25" customHeight="1">
      <c r="A6" s="14">
        <v>5.5</v>
      </c>
      <c r="B6" s="40" t="s">
        <v>76</v>
      </c>
      <c r="C6" s="14">
        <v>2</v>
      </c>
      <c r="E6" s="52"/>
    </row>
    <row r="7" spans="1:6" ht="14.25" customHeight="1">
      <c r="A7" s="14">
        <v>6.5</v>
      </c>
      <c r="B7" s="40" t="s">
        <v>77</v>
      </c>
      <c r="C7" s="14">
        <v>2.5</v>
      </c>
      <c r="E7" s="52"/>
    </row>
    <row r="8" spans="1:6" ht="14.25" customHeight="1">
      <c r="A8" s="14">
        <v>7</v>
      </c>
      <c r="B8" s="40" t="s">
        <v>78</v>
      </c>
      <c r="C8" s="14">
        <v>3</v>
      </c>
      <c r="E8" s="52"/>
    </row>
    <row r="9" spans="1:6" ht="14.25" customHeight="1">
      <c r="A9" s="14">
        <v>8</v>
      </c>
      <c r="B9" s="40" t="s">
        <v>79</v>
      </c>
      <c r="C9" s="14">
        <v>3.5</v>
      </c>
      <c r="E9" s="52"/>
    </row>
    <row r="10" spans="1:6" ht="14.25" customHeight="1">
      <c r="A10" s="14">
        <v>9</v>
      </c>
      <c r="B10" s="40" t="s">
        <v>80</v>
      </c>
      <c r="C10" s="14">
        <v>4</v>
      </c>
      <c r="E10" s="52"/>
    </row>
    <row r="11" spans="1:6" ht="14.25" customHeight="1">
      <c r="A11" s="14"/>
      <c r="B11" s="43"/>
      <c r="E11" s="53"/>
    </row>
    <row r="12" spans="1:6" ht="18" customHeight="1">
      <c r="A12" s="4" t="s">
        <v>81</v>
      </c>
      <c r="B12" s="4"/>
      <c r="C12" s="4"/>
      <c r="E12" s="51" t="s">
        <v>82</v>
      </c>
      <c r="F12" s="4"/>
    </row>
    <row r="13" spans="1:6" ht="15.75" customHeight="1">
      <c r="A13" s="44" t="s">
        <v>10</v>
      </c>
      <c r="B13" s="45" t="s">
        <v>11</v>
      </c>
      <c r="C13" s="44" t="s">
        <v>83</v>
      </c>
      <c r="E13" s="44" t="s">
        <v>20</v>
      </c>
      <c r="F13" s="46" t="s">
        <v>84</v>
      </c>
    </row>
    <row r="14" spans="1:6" ht="14.25" customHeight="1">
      <c r="A14" s="33">
        <v>1</v>
      </c>
      <c r="B14" s="43" t="s">
        <v>42</v>
      </c>
      <c r="C14" s="14" t="s">
        <v>43</v>
      </c>
      <c r="E14" s="14" t="s">
        <v>80</v>
      </c>
      <c r="F14" s="42">
        <f>COUNTIF('Tổng hợp điểm'!$K$7:$K$20,E14)</f>
        <v>0</v>
      </c>
    </row>
    <row r="15" spans="1:6" ht="14.25" customHeight="1">
      <c r="A15" s="33">
        <v>2</v>
      </c>
      <c r="B15" s="43" t="s">
        <v>50</v>
      </c>
      <c r="C15" s="14" t="s">
        <v>51</v>
      </c>
      <c r="E15" s="14" t="s">
        <v>79</v>
      </c>
      <c r="F15" s="42">
        <f>COUNTIF('Tổng hợp điểm'!$K$7:$K$20,E15)</f>
        <v>1</v>
      </c>
    </row>
    <row r="16" spans="1:6" ht="14.25" customHeight="1">
      <c r="A16" s="33">
        <v>3</v>
      </c>
      <c r="B16" s="43" t="s">
        <v>52</v>
      </c>
      <c r="C16" s="14" t="s">
        <v>53</v>
      </c>
      <c r="E16" s="14" t="s">
        <v>78</v>
      </c>
      <c r="F16" s="42">
        <f>COUNTIF('Tổng hợp điểm'!$K$7:$K$20,E16)</f>
        <v>2</v>
      </c>
    </row>
    <row r="17" spans="1:6" ht="14.25" customHeight="1">
      <c r="A17" s="33">
        <v>4</v>
      </c>
      <c r="B17" s="43" t="s">
        <v>48</v>
      </c>
      <c r="C17" s="14" t="s">
        <v>49</v>
      </c>
      <c r="E17" s="14" t="s">
        <v>77</v>
      </c>
      <c r="F17" s="42">
        <f>COUNTIF('Tổng hợp điểm'!$K$7:$K$20,E17)</f>
        <v>2</v>
      </c>
    </row>
    <row r="18" spans="1:6" ht="14.25" customHeight="1">
      <c r="A18" s="33">
        <v>5</v>
      </c>
      <c r="B18" s="43" t="s">
        <v>44</v>
      </c>
      <c r="C18" s="14" t="s">
        <v>45</v>
      </c>
      <c r="E18" s="14" t="s">
        <v>76</v>
      </c>
      <c r="F18" s="42">
        <f>COUNTIF('Tổng hợp điểm'!$K$7:$K$20,E18)</f>
        <v>5</v>
      </c>
    </row>
    <row r="19" spans="1:6" ht="14.25" customHeight="1">
      <c r="A19" s="33">
        <v>6</v>
      </c>
      <c r="B19" s="43" t="s">
        <v>38</v>
      </c>
      <c r="C19" s="14" t="s">
        <v>39</v>
      </c>
      <c r="E19" s="14" t="s">
        <v>75</v>
      </c>
      <c r="F19" s="42">
        <f>COUNTIF('Tổng hợp điểm'!$K$7:$K$20,E19)</f>
        <v>1</v>
      </c>
    </row>
    <row r="20" spans="1:6" ht="14.25" customHeight="1">
      <c r="A20" s="33">
        <v>7</v>
      </c>
      <c r="B20" s="43" t="s">
        <v>56</v>
      </c>
      <c r="C20" s="14" t="s">
        <v>57</v>
      </c>
      <c r="E20" s="14" t="s">
        <v>74</v>
      </c>
      <c r="F20" s="14">
        <f>COUNTIF('Tổng hợp điểm'!$K$7:$K$20,E20)</f>
        <v>0</v>
      </c>
    </row>
    <row r="21" spans="1:6" ht="14.25" customHeight="1">
      <c r="A21" s="33">
        <v>8</v>
      </c>
      <c r="B21" s="43" t="s">
        <v>62</v>
      </c>
      <c r="C21" s="14" t="s">
        <v>63</v>
      </c>
      <c r="E21" s="14" t="s">
        <v>73</v>
      </c>
      <c r="F21" s="14">
        <f>COUNTIF('Tổng hợp điểm'!$K$7:$K$20,E21)</f>
        <v>3</v>
      </c>
    </row>
    <row r="22" spans="1:6" ht="14.25" customHeight="1">
      <c r="A22" s="33">
        <v>9</v>
      </c>
      <c r="B22" s="43" t="s">
        <v>58</v>
      </c>
      <c r="C22" s="14" t="s">
        <v>59</v>
      </c>
      <c r="F22" s="47"/>
    </row>
    <row r="23" spans="1:6" ht="14.25" customHeight="1">
      <c r="A23" s="33">
        <v>10</v>
      </c>
      <c r="B23" s="43" t="s">
        <v>40</v>
      </c>
      <c r="C23" s="14" t="s">
        <v>41</v>
      </c>
      <c r="E23" s="3" t="s">
        <v>85</v>
      </c>
      <c r="F23" s="3"/>
    </row>
    <row r="24" spans="1:6" ht="14.25" customHeight="1">
      <c r="A24" s="33">
        <v>11</v>
      </c>
      <c r="B24" s="43" t="s">
        <v>54</v>
      </c>
      <c r="C24" s="14" t="s">
        <v>55</v>
      </c>
      <c r="E24" s="2" t="s">
        <v>86</v>
      </c>
      <c r="F24" s="1">
        <f>COUNTIFS('Tổng hợp điểm'!$G$7:$G$20,0)+COUNTIF('Tổng hợp điểm'!$H$7:$H$20,-3)</f>
        <v>3</v>
      </c>
    </row>
    <row r="25" spans="1:6" ht="14.25" customHeight="1">
      <c r="A25" s="33">
        <v>12</v>
      </c>
      <c r="B25" s="43" t="s">
        <v>36</v>
      </c>
      <c r="C25" s="14" t="s">
        <v>37</v>
      </c>
      <c r="E25" s="2"/>
      <c r="F25" s="2"/>
    </row>
    <row r="26" spans="1:6" ht="14.25" customHeight="1">
      <c r="A26" s="33">
        <v>13</v>
      </c>
      <c r="B26" s="43" t="s">
        <v>46</v>
      </c>
      <c r="C26" s="14" t="s">
        <v>47</v>
      </c>
      <c r="E26" s="2"/>
      <c r="F26" s="2"/>
    </row>
    <row r="27" spans="1:6" ht="14.25" customHeight="1">
      <c r="A27" s="33">
        <v>14</v>
      </c>
      <c r="B27" s="43" t="s">
        <v>60</v>
      </c>
      <c r="C27" s="14" t="s">
        <v>61</v>
      </c>
      <c r="E27" s="48" t="s">
        <v>87</v>
      </c>
      <c r="F27" s="49">
        <f>COUNTIFS('Tổng hợp điểm'!$J$7:$J$20,"&gt;=7",'Tổng hợp điểm'!$K$7:$K$20,"B+")+COUNTIFS('Tổng hợp điểm'!$J$7:$J$20,"&gt;=7",'Tổng hợp điểm'!$K$7:$K$20,"A")</f>
        <v>1</v>
      </c>
    </row>
    <row r="28" spans="1:6" ht="14.25" customHeight="1">
      <c r="C28" s="52"/>
      <c r="D28" s="52"/>
      <c r="E28" s="52"/>
    </row>
    <row r="29" spans="1:6" ht="14.25" customHeight="1">
      <c r="C29" s="52"/>
      <c r="D29" s="52"/>
      <c r="E29" s="52"/>
    </row>
    <row r="30" spans="1:6" ht="14.25" customHeight="1">
      <c r="C30" s="52"/>
      <c r="D30" s="52"/>
      <c r="E30" s="52"/>
    </row>
    <row r="31" spans="1:6" ht="14.25" customHeight="1">
      <c r="C31" s="52"/>
      <c r="D31" s="52"/>
      <c r="E31" s="52"/>
    </row>
    <row r="32" spans="1:6" ht="14.25" customHeight="1">
      <c r="C32" s="52"/>
      <c r="D32" s="52"/>
      <c r="E32" s="52"/>
    </row>
    <row r="33" spans="3:5" ht="14.25" customHeight="1">
      <c r="C33" s="52"/>
      <c r="D33" s="52"/>
      <c r="E33" s="52"/>
    </row>
    <row r="34" spans="3:5" ht="14.25" customHeight="1">
      <c r="C34" s="52"/>
      <c r="D34" s="52"/>
      <c r="E34" s="52"/>
    </row>
    <row r="35" spans="3:5" ht="14.25" customHeight="1">
      <c r="C35" s="52"/>
      <c r="D35" s="52"/>
      <c r="E35" s="52"/>
    </row>
    <row r="36" spans="3:5" ht="14.25" customHeight="1">
      <c r="C36" s="52"/>
      <c r="D36" s="52"/>
      <c r="E36" s="52"/>
    </row>
    <row r="37" spans="3:5" ht="14.25" customHeight="1">
      <c r="C37" s="52"/>
      <c r="D37" s="52"/>
      <c r="E37" s="52"/>
    </row>
    <row r="38" spans="3:5" ht="14.25" customHeight="1">
      <c r="C38" s="52"/>
      <c r="D38" s="52"/>
      <c r="E38" s="52"/>
    </row>
    <row r="39" spans="3:5" ht="14.25" customHeight="1">
      <c r="C39" s="52"/>
      <c r="D39" s="52"/>
      <c r="E39" s="52"/>
    </row>
    <row r="40" spans="3:5" ht="14.25" customHeight="1">
      <c r="C40" s="52"/>
      <c r="D40" s="52"/>
      <c r="E40" s="52"/>
    </row>
    <row r="41" spans="3:5" ht="14.25" customHeight="1">
      <c r="C41" s="52"/>
      <c r="D41" s="52"/>
      <c r="E41" s="52"/>
    </row>
    <row r="42" spans="3:5" ht="14.25" customHeight="1">
      <c r="C42" s="52"/>
      <c r="D42" s="52"/>
      <c r="E42" s="52"/>
    </row>
    <row r="43" spans="3:5" ht="14.25" customHeight="1">
      <c r="C43" s="52"/>
      <c r="D43" s="52"/>
      <c r="E43" s="52"/>
    </row>
    <row r="44" spans="3:5" ht="14.25" customHeight="1">
      <c r="C44" s="52"/>
      <c r="D44" s="52"/>
      <c r="E44" s="52"/>
    </row>
    <row r="45" spans="3:5" ht="14.25" customHeight="1">
      <c r="C45" s="52"/>
      <c r="D45" s="52"/>
      <c r="E45" s="52"/>
    </row>
    <row r="46" spans="3:5" ht="14.25" customHeight="1">
      <c r="C46" s="52"/>
      <c r="D46" s="52"/>
      <c r="E46" s="52"/>
    </row>
    <row r="47" spans="3:5" ht="14.25" customHeight="1">
      <c r="C47" s="52"/>
      <c r="D47" s="52"/>
      <c r="E47" s="52"/>
    </row>
    <row r="48" spans="3:5" ht="14.25" customHeight="1">
      <c r="C48" s="52"/>
      <c r="D48" s="52"/>
      <c r="E48" s="52"/>
    </row>
    <row r="49" spans="3:5" ht="14.25" customHeight="1">
      <c r="C49" s="52"/>
      <c r="D49" s="52"/>
      <c r="E49" s="52"/>
    </row>
    <row r="50" spans="3:5" ht="14.25" customHeight="1">
      <c r="C50" s="52"/>
      <c r="D50" s="52"/>
      <c r="E50" s="52"/>
    </row>
    <row r="51" spans="3:5" ht="14.25" customHeight="1">
      <c r="C51" s="52"/>
      <c r="D51" s="52"/>
      <c r="E51" s="52"/>
    </row>
    <row r="52" spans="3:5" ht="14.25" customHeight="1">
      <c r="C52" s="52"/>
      <c r="D52" s="52"/>
      <c r="E52" s="52"/>
    </row>
    <row r="53" spans="3:5" ht="14.25" customHeight="1">
      <c r="C53" s="52"/>
      <c r="D53" s="52"/>
      <c r="E53" s="52"/>
    </row>
    <row r="54" spans="3:5" ht="14.25" customHeight="1">
      <c r="C54" s="52"/>
      <c r="D54" s="52"/>
      <c r="E54" s="52"/>
    </row>
    <row r="55" spans="3:5" ht="14.25" customHeight="1">
      <c r="C55" s="52"/>
      <c r="D55" s="52"/>
      <c r="E55" s="52"/>
    </row>
    <row r="56" spans="3:5" ht="14.25" customHeight="1">
      <c r="C56" s="52"/>
      <c r="D56" s="52"/>
      <c r="E56" s="52"/>
    </row>
    <row r="57" spans="3:5" ht="14.25" customHeight="1">
      <c r="C57" s="52"/>
      <c r="D57" s="52"/>
      <c r="E57" s="52"/>
    </row>
    <row r="58" spans="3:5" ht="14.25" customHeight="1">
      <c r="C58" s="52"/>
      <c r="D58" s="52"/>
      <c r="E58" s="52"/>
    </row>
    <row r="59" spans="3:5" ht="14.25" customHeight="1">
      <c r="C59" s="52"/>
      <c r="D59" s="52"/>
      <c r="E59" s="52"/>
    </row>
    <row r="60" spans="3:5" ht="14.25" customHeight="1">
      <c r="C60" s="52"/>
      <c r="D60" s="52"/>
      <c r="E60" s="52"/>
    </row>
    <row r="61" spans="3:5" ht="14.25" customHeight="1">
      <c r="C61" s="52"/>
      <c r="D61" s="52"/>
      <c r="E61" s="52"/>
    </row>
    <row r="62" spans="3:5" ht="14.25" customHeight="1">
      <c r="C62" s="52"/>
      <c r="D62" s="52"/>
      <c r="E62" s="52"/>
    </row>
    <row r="63" spans="3:5" ht="14.25" customHeight="1">
      <c r="C63" s="52"/>
      <c r="D63" s="52"/>
      <c r="E63" s="52"/>
    </row>
    <row r="64" spans="3:5" ht="14.25" customHeight="1">
      <c r="C64" s="52"/>
      <c r="D64" s="52"/>
      <c r="E64" s="52"/>
    </row>
    <row r="65" spans="3:5" ht="14.25" customHeight="1">
      <c r="C65" s="52"/>
      <c r="D65" s="52"/>
      <c r="E65" s="52"/>
    </row>
    <row r="66" spans="3:5" ht="14.25" customHeight="1">
      <c r="C66" s="52"/>
      <c r="D66" s="52"/>
      <c r="E66" s="52"/>
    </row>
    <row r="67" spans="3:5" ht="14.25" customHeight="1">
      <c r="C67" s="52"/>
      <c r="D67" s="52"/>
      <c r="E67" s="52"/>
    </row>
    <row r="68" spans="3:5" ht="14.25" customHeight="1">
      <c r="C68" s="52"/>
      <c r="D68" s="52"/>
      <c r="E68" s="52"/>
    </row>
    <row r="69" spans="3:5" ht="14.25" customHeight="1">
      <c r="C69" s="52"/>
      <c r="D69" s="52"/>
      <c r="E69" s="52"/>
    </row>
    <row r="70" spans="3:5" ht="14.25" customHeight="1">
      <c r="C70" s="52"/>
      <c r="D70" s="52"/>
      <c r="E70" s="52"/>
    </row>
    <row r="71" spans="3:5" ht="14.25" customHeight="1">
      <c r="C71" s="52"/>
      <c r="D71" s="52"/>
      <c r="E71" s="52"/>
    </row>
    <row r="72" spans="3:5" ht="14.25" customHeight="1">
      <c r="C72" s="52"/>
      <c r="D72" s="52"/>
      <c r="E72" s="52"/>
    </row>
    <row r="73" spans="3:5" ht="14.25" customHeight="1">
      <c r="C73" s="52"/>
      <c r="D73" s="52"/>
      <c r="E73" s="52"/>
    </row>
    <row r="74" spans="3:5" ht="14.25" customHeight="1">
      <c r="C74" s="52"/>
      <c r="D74" s="52"/>
      <c r="E74" s="52"/>
    </row>
    <row r="75" spans="3:5" ht="14.25" customHeight="1">
      <c r="C75" s="52"/>
      <c r="D75" s="52"/>
      <c r="E75" s="52"/>
    </row>
    <row r="76" spans="3:5" ht="14.25" customHeight="1">
      <c r="C76" s="52"/>
      <c r="D76" s="52"/>
      <c r="E76" s="52"/>
    </row>
    <row r="77" spans="3:5" ht="14.25" customHeight="1">
      <c r="C77" s="52"/>
      <c r="D77" s="52"/>
      <c r="E77" s="52"/>
    </row>
    <row r="78" spans="3:5" ht="14.25" customHeight="1">
      <c r="C78" s="52"/>
      <c r="D78" s="52"/>
      <c r="E78" s="52"/>
    </row>
    <row r="79" spans="3:5" ht="14.25" customHeight="1">
      <c r="C79" s="52"/>
      <c r="D79" s="52"/>
      <c r="E79" s="52"/>
    </row>
    <row r="80" spans="3:5" ht="14.25" customHeight="1">
      <c r="C80" s="52"/>
      <c r="D80" s="52"/>
      <c r="E80" s="52"/>
    </row>
    <row r="81" spans="3:5" ht="14.25" customHeight="1">
      <c r="C81" s="52"/>
      <c r="D81" s="52"/>
      <c r="E81" s="52"/>
    </row>
    <row r="82" spans="3:5" ht="14.25" customHeight="1">
      <c r="C82" s="52"/>
      <c r="D82" s="52"/>
      <c r="E82" s="52"/>
    </row>
    <row r="83" spans="3:5" ht="14.25" customHeight="1">
      <c r="C83" s="52"/>
      <c r="D83" s="52"/>
      <c r="E83" s="52"/>
    </row>
    <row r="84" spans="3:5" ht="14.25" customHeight="1">
      <c r="C84" s="52"/>
      <c r="D84" s="52"/>
      <c r="E84" s="52"/>
    </row>
    <row r="85" spans="3:5" ht="14.25" customHeight="1">
      <c r="C85" s="52"/>
      <c r="D85" s="52"/>
      <c r="E85" s="52"/>
    </row>
    <row r="86" spans="3:5" ht="14.25" customHeight="1">
      <c r="C86" s="52"/>
      <c r="D86" s="52"/>
      <c r="E86" s="52"/>
    </row>
    <row r="87" spans="3:5" ht="14.25" customHeight="1">
      <c r="C87" s="52"/>
      <c r="D87" s="52"/>
      <c r="E87" s="52"/>
    </row>
    <row r="88" spans="3:5" ht="14.25" customHeight="1">
      <c r="C88" s="52"/>
      <c r="D88" s="52"/>
      <c r="E88" s="52"/>
    </row>
    <row r="89" spans="3:5" ht="14.25" customHeight="1">
      <c r="C89" s="52"/>
      <c r="D89" s="52"/>
      <c r="E89" s="52"/>
    </row>
    <row r="90" spans="3:5" ht="14.25" customHeight="1">
      <c r="C90" s="52"/>
      <c r="D90" s="52"/>
      <c r="E90" s="52"/>
    </row>
    <row r="91" spans="3:5" ht="14.25" customHeight="1">
      <c r="C91" s="52"/>
      <c r="D91" s="52"/>
      <c r="E91" s="52"/>
    </row>
    <row r="92" spans="3:5" ht="14.25" customHeight="1">
      <c r="C92" s="52"/>
      <c r="D92" s="52"/>
      <c r="E92" s="52"/>
    </row>
    <row r="93" spans="3:5" ht="14.25" customHeight="1">
      <c r="C93" s="52"/>
      <c r="D93" s="52"/>
      <c r="E93" s="52"/>
    </row>
    <row r="94" spans="3:5" ht="14.25" customHeight="1">
      <c r="C94" s="52"/>
      <c r="D94" s="52"/>
      <c r="E94" s="52"/>
    </row>
    <row r="95" spans="3:5" ht="14.25" customHeight="1">
      <c r="C95" s="52"/>
      <c r="D95" s="52"/>
      <c r="E95" s="52"/>
    </row>
    <row r="96" spans="3:5" ht="14.25" customHeight="1">
      <c r="C96" s="52"/>
      <c r="D96" s="52"/>
      <c r="E96" s="52"/>
    </row>
    <row r="97" spans="3:5" ht="14.25" customHeight="1">
      <c r="C97" s="52"/>
      <c r="D97" s="52"/>
      <c r="E97" s="52"/>
    </row>
    <row r="98" spans="3:5" ht="14.25" customHeight="1">
      <c r="C98" s="52"/>
      <c r="D98" s="52"/>
      <c r="E98" s="52"/>
    </row>
    <row r="99" spans="3:5" ht="14.25" customHeight="1">
      <c r="C99" s="52"/>
      <c r="D99" s="52"/>
      <c r="E99" s="52"/>
    </row>
    <row r="100" spans="3:5" ht="14.25" customHeight="1">
      <c r="C100" s="52"/>
      <c r="D100" s="52"/>
      <c r="E100" s="52"/>
    </row>
    <row r="101" spans="3:5" ht="14.25" customHeight="1">
      <c r="C101" s="52"/>
      <c r="D101" s="52"/>
      <c r="E101" s="52"/>
    </row>
    <row r="102" spans="3:5" ht="14.25" customHeight="1">
      <c r="C102" s="52"/>
      <c r="D102" s="52"/>
      <c r="E102" s="52"/>
    </row>
    <row r="103" spans="3:5" ht="14.25" customHeight="1">
      <c r="C103" s="52"/>
      <c r="D103" s="52"/>
      <c r="E103" s="52"/>
    </row>
    <row r="104" spans="3:5" ht="14.25" customHeight="1">
      <c r="C104" s="52"/>
      <c r="D104" s="52"/>
      <c r="E104" s="52"/>
    </row>
    <row r="105" spans="3:5" ht="14.25" customHeight="1">
      <c r="C105" s="52"/>
      <c r="D105" s="52"/>
      <c r="E105" s="52"/>
    </row>
    <row r="106" spans="3:5" ht="14.25" customHeight="1">
      <c r="C106" s="52"/>
      <c r="D106" s="52"/>
      <c r="E106" s="52"/>
    </row>
    <row r="107" spans="3:5" ht="14.25" customHeight="1">
      <c r="C107" s="52"/>
      <c r="D107" s="52"/>
      <c r="E107" s="52"/>
    </row>
    <row r="108" spans="3:5" ht="14.25" customHeight="1">
      <c r="C108" s="52"/>
      <c r="D108" s="52"/>
      <c r="E108" s="52"/>
    </row>
    <row r="109" spans="3:5" ht="14.25" customHeight="1">
      <c r="C109" s="52"/>
      <c r="D109" s="52"/>
      <c r="E109" s="52"/>
    </row>
    <row r="110" spans="3:5" ht="14.25" customHeight="1">
      <c r="C110" s="52"/>
      <c r="D110" s="52"/>
      <c r="E110" s="52"/>
    </row>
    <row r="111" spans="3:5" ht="14.25" customHeight="1">
      <c r="C111" s="52"/>
      <c r="D111" s="52"/>
      <c r="E111" s="52"/>
    </row>
    <row r="112" spans="3:5" ht="14.25" customHeight="1">
      <c r="C112" s="52"/>
      <c r="D112" s="52"/>
      <c r="E112" s="52"/>
    </row>
    <row r="113" spans="3:5" ht="14.25" customHeight="1">
      <c r="C113" s="52"/>
      <c r="D113" s="52"/>
      <c r="E113" s="52"/>
    </row>
    <row r="114" spans="3:5" ht="14.25" customHeight="1">
      <c r="C114" s="52"/>
      <c r="D114" s="52"/>
      <c r="E114" s="52"/>
    </row>
    <row r="115" spans="3:5" ht="14.25" customHeight="1">
      <c r="C115" s="52"/>
      <c r="D115" s="52"/>
      <c r="E115" s="52"/>
    </row>
    <row r="116" spans="3:5" ht="14.25" customHeight="1">
      <c r="C116" s="52"/>
      <c r="D116" s="52"/>
      <c r="E116" s="52"/>
    </row>
    <row r="117" spans="3:5" ht="14.25" customHeight="1">
      <c r="C117" s="52"/>
      <c r="D117" s="52"/>
      <c r="E117" s="52"/>
    </row>
    <row r="118" spans="3:5" ht="14.25" customHeight="1">
      <c r="C118" s="52"/>
      <c r="D118" s="52"/>
      <c r="E118" s="52"/>
    </row>
    <row r="119" spans="3:5" ht="14.25" customHeight="1">
      <c r="C119" s="52"/>
      <c r="D119" s="52"/>
      <c r="E119" s="52"/>
    </row>
    <row r="120" spans="3:5" ht="14.25" customHeight="1">
      <c r="C120" s="52"/>
      <c r="D120" s="52"/>
      <c r="E120" s="52"/>
    </row>
    <row r="121" spans="3:5" ht="14.25" customHeight="1">
      <c r="C121" s="52"/>
      <c r="D121" s="52"/>
      <c r="E121" s="52"/>
    </row>
    <row r="122" spans="3:5" ht="14.25" customHeight="1">
      <c r="C122" s="52"/>
      <c r="D122" s="52"/>
      <c r="E122" s="52"/>
    </row>
    <row r="123" spans="3:5" ht="14.25" customHeight="1">
      <c r="C123" s="52"/>
      <c r="D123" s="52"/>
      <c r="E123" s="52"/>
    </row>
    <row r="124" spans="3:5" ht="14.25" customHeight="1">
      <c r="C124" s="52"/>
      <c r="D124" s="52"/>
      <c r="E124" s="52"/>
    </row>
    <row r="125" spans="3:5" ht="14.25" customHeight="1">
      <c r="C125" s="52"/>
      <c r="D125" s="52"/>
      <c r="E125" s="52"/>
    </row>
    <row r="126" spans="3:5" ht="14.25" customHeight="1">
      <c r="C126" s="52"/>
      <c r="D126" s="52"/>
      <c r="E126" s="52"/>
    </row>
    <row r="127" spans="3:5" ht="14.25" customHeight="1">
      <c r="C127" s="52"/>
      <c r="D127" s="52"/>
      <c r="E127" s="52"/>
    </row>
    <row r="128" spans="3:5" ht="14.25" customHeight="1">
      <c r="C128" s="52"/>
      <c r="D128" s="52"/>
      <c r="E128" s="52"/>
    </row>
    <row r="129" spans="3:5" ht="14.25" customHeight="1">
      <c r="C129" s="52"/>
      <c r="D129" s="52"/>
      <c r="E129" s="52"/>
    </row>
    <row r="130" spans="3:5" ht="14.25" customHeight="1">
      <c r="C130" s="52"/>
      <c r="D130" s="52"/>
      <c r="E130" s="52"/>
    </row>
    <row r="131" spans="3:5" ht="14.25" customHeight="1">
      <c r="C131" s="52"/>
      <c r="D131" s="52"/>
      <c r="E131" s="52"/>
    </row>
    <row r="132" spans="3:5" ht="14.25" customHeight="1">
      <c r="C132" s="52"/>
      <c r="D132" s="52"/>
      <c r="E132" s="52"/>
    </row>
    <row r="133" spans="3:5" ht="14.25" customHeight="1">
      <c r="C133" s="52"/>
      <c r="D133" s="52"/>
      <c r="E133" s="52"/>
    </row>
    <row r="134" spans="3:5" ht="14.25" customHeight="1">
      <c r="C134" s="52"/>
      <c r="D134" s="52"/>
      <c r="E134" s="52"/>
    </row>
    <row r="135" spans="3:5" ht="14.25" customHeight="1">
      <c r="C135" s="52"/>
      <c r="D135" s="52"/>
      <c r="E135" s="52"/>
    </row>
    <row r="136" spans="3:5" ht="14.25" customHeight="1">
      <c r="C136" s="52"/>
      <c r="D136" s="52"/>
      <c r="E136" s="52"/>
    </row>
    <row r="137" spans="3:5" ht="14.25" customHeight="1">
      <c r="C137" s="52"/>
      <c r="D137" s="52"/>
      <c r="E137" s="52"/>
    </row>
    <row r="138" spans="3:5" ht="14.25" customHeight="1">
      <c r="C138" s="52"/>
      <c r="D138" s="52"/>
      <c r="E138" s="52"/>
    </row>
    <row r="139" spans="3:5" ht="14.25" customHeight="1">
      <c r="C139" s="52"/>
      <c r="D139" s="52"/>
      <c r="E139" s="52"/>
    </row>
    <row r="140" spans="3:5" ht="14.25" customHeight="1">
      <c r="C140" s="52"/>
      <c r="D140" s="52"/>
      <c r="E140" s="52"/>
    </row>
    <row r="141" spans="3:5" ht="14.25" customHeight="1">
      <c r="C141" s="52"/>
      <c r="D141" s="52"/>
      <c r="E141" s="52"/>
    </row>
    <row r="142" spans="3:5" ht="14.25" customHeight="1">
      <c r="C142" s="52"/>
      <c r="D142" s="52"/>
      <c r="E142" s="52"/>
    </row>
    <row r="143" spans="3:5" ht="14.25" customHeight="1">
      <c r="C143" s="52"/>
      <c r="D143" s="52"/>
      <c r="E143" s="52"/>
    </row>
    <row r="144" spans="3:5" ht="14.25" customHeight="1">
      <c r="C144" s="52"/>
      <c r="D144" s="52"/>
      <c r="E144" s="52"/>
    </row>
    <row r="145" spans="3:5" ht="14.25" customHeight="1">
      <c r="C145" s="52"/>
      <c r="D145" s="52"/>
      <c r="E145" s="52"/>
    </row>
    <row r="146" spans="3:5" ht="14.25" customHeight="1">
      <c r="C146" s="52"/>
      <c r="D146" s="52"/>
      <c r="E146" s="52"/>
    </row>
    <row r="147" spans="3:5" ht="14.25" customHeight="1">
      <c r="C147" s="52"/>
      <c r="D147" s="52"/>
      <c r="E147" s="52"/>
    </row>
    <row r="148" spans="3:5" ht="14.25" customHeight="1">
      <c r="C148" s="52"/>
      <c r="D148" s="52"/>
      <c r="E148" s="52"/>
    </row>
    <row r="149" spans="3:5" ht="14.25" customHeight="1">
      <c r="C149" s="52"/>
      <c r="D149" s="52"/>
      <c r="E149" s="52"/>
    </row>
    <row r="150" spans="3:5" ht="14.25" customHeight="1">
      <c r="C150" s="52"/>
      <c r="D150" s="52"/>
      <c r="E150" s="52"/>
    </row>
    <row r="151" spans="3:5" ht="14.25" customHeight="1">
      <c r="C151" s="52"/>
      <c r="D151" s="52"/>
      <c r="E151" s="52"/>
    </row>
    <row r="152" spans="3:5" ht="14.25" customHeight="1">
      <c r="C152" s="52"/>
      <c r="D152" s="52"/>
      <c r="E152" s="52"/>
    </row>
    <row r="153" spans="3:5" ht="14.25" customHeight="1">
      <c r="C153" s="52"/>
      <c r="D153" s="52"/>
      <c r="E153" s="52"/>
    </row>
    <row r="154" spans="3:5" ht="14.25" customHeight="1">
      <c r="C154" s="52"/>
      <c r="D154" s="52"/>
      <c r="E154" s="52"/>
    </row>
    <row r="155" spans="3:5" ht="14.25" customHeight="1">
      <c r="C155" s="52"/>
      <c r="D155" s="52"/>
      <c r="E155" s="52"/>
    </row>
    <row r="156" spans="3:5" ht="14.25" customHeight="1">
      <c r="C156" s="52"/>
      <c r="D156" s="52"/>
      <c r="E156" s="52"/>
    </row>
    <row r="157" spans="3:5" ht="14.25" customHeight="1">
      <c r="C157" s="52"/>
      <c r="D157" s="52"/>
      <c r="E157" s="52"/>
    </row>
    <row r="158" spans="3:5" ht="14.25" customHeight="1">
      <c r="C158" s="52"/>
      <c r="D158" s="52"/>
      <c r="E158" s="52"/>
    </row>
    <row r="159" spans="3:5" ht="14.25" customHeight="1">
      <c r="C159" s="52"/>
      <c r="D159" s="52"/>
      <c r="E159" s="52"/>
    </row>
    <row r="160" spans="3:5" ht="14.25" customHeight="1">
      <c r="C160" s="52"/>
      <c r="D160" s="52"/>
      <c r="E160" s="52"/>
    </row>
    <row r="161" spans="3:5" ht="14.25" customHeight="1">
      <c r="C161" s="52"/>
      <c r="D161" s="52"/>
      <c r="E161" s="52"/>
    </row>
    <row r="162" spans="3:5" ht="14.25" customHeight="1">
      <c r="C162" s="52"/>
      <c r="D162" s="52"/>
      <c r="E162" s="52"/>
    </row>
    <row r="163" spans="3:5" ht="14.25" customHeight="1">
      <c r="C163" s="52"/>
      <c r="D163" s="52"/>
      <c r="E163" s="52"/>
    </row>
    <row r="164" spans="3:5" ht="14.25" customHeight="1">
      <c r="C164" s="52"/>
      <c r="D164" s="52"/>
      <c r="E164" s="52"/>
    </row>
    <row r="165" spans="3:5" ht="14.25" customHeight="1">
      <c r="C165" s="52"/>
      <c r="D165" s="52"/>
      <c r="E165" s="52"/>
    </row>
    <row r="166" spans="3:5" ht="14.25" customHeight="1">
      <c r="C166" s="52"/>
      <c r="D166" s="52"/>
      <c r="E166" s="52"/>
    </row>
    <row r="167" spans="3:5" ht="14.25" customHeight="1">
      <c r="C167" s="52"/>
      <c r="D167" s="52"/>
      <c r="E167" s="52"/>
    </row>
    <row r="168" spans="3:5" ht="14.25" customHeight="1">
      <c r="C168" s="53"/>
      <c r="D168" s="53"/>
      <c r="E168" s="53"/>
    </row>
    <row r="169" spans="3:5" ht="14.25" customHeight="1">
      <c r="C169" s="50"/>
      <c r="E169" s="50"/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showGridLines="0" zoomScaleNormal="100" workbookViewId="0">
      <pane ySplit="1" topLeftCell="A8" activePane="bottomLeft" state="frozen"/>
      <selection pane="bottomLeft" activeCell="C13" sqref="C13"/>
    </sheetView>
  </sheetViews>
  <sheetFormatPr defaultColWidth="8.59765625" defaultRowHeight="14.25" customHeight="1"/>
  <cols>
    <col min="1" max="1" width="6.59765625" customWidth="1"/>
    <col min="2" max="2" width="15.59765625" customWidth="1"/>
    <col min="3" max="3" width="31.59765625" customWidth="1"/>
    <col min="4" max="4" width="15.59765625" customWidth="1"/>
    <col min="10" max="10" width="19.6640625" customWidth="1"/>
    <col min="11" max="11" width="15.59765625" customWidth="1"/>
  </cols>
  <sheetData>
    <row r="1" spans="1:11" ht="39" customHeight="1">
      <c r="A1" s="18" t="s">
        <v>10</v>
      </c>
      <c r="B1" s="19" t="s">
        <v>11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17</v>
      </c>
      <c r="I1" s="19" t="s">
        <v>18</v>
      </c>
      <c r="J1" s="19" t="s">
        <v>19</v>
      </c>
      <c r="K1" s="19" t="s">
        <v>20</v>
      </c>
    </row>
    <row r="2" spans="1:11" ht="15" customHeight="1">
      <c r="A2" s="13">
        <v>1</v>
      </c>
      <c r="B2" s="20" t="s">
        <v>21</v>
      </c>
      <c r="C2" s="16" t="s">
        <v>37</v>
      </c>
      <c r="D2" s="14">
        <v>0.45</v>
      </c>
      <c r="E2" s="14">
        <v>0.25</v>
      </c>
      <c r="F2" s="14">
        <v>0.3</v>
      </c>
      <c r="G2" s="14">
        <v>0.5</v>
      </c>
      <c r="H2" s="14">
        <v>4.2</v>
      </c>
      <c r="I2" s="14">
        <v>4</v>
      </c>
      <c r="J2" s="21">
        <v>5</v>
      </c>
      <c r="K2" s="21" t="s">
        <v>75</v>
      </c>
    </row>
    <row r="3" spans="1:11" ht="15" customHeight="1">
      <c r="A3" s="13">
        <v>2</v>
      </c>
      <c r="B3" s="20" t="s">
        <v>22</v>
      </c>
      <c r="C3" s="16" t="s">
        <v>39</v>
      </c>
      <c r="D3" s="14">
        <v>0.5</v>
      </c>
      <c r="E3" s="14">
        <v>0.35</v>
      </c>
      <c r="F3" s="14">
        <v>0.4</v>
      </c>
      <c r="G3" s="14">
        <v>1</v>
      </c>
      <c r="H3" s="14">
        <v>5.8</v>
      </c>
      <c r="I3" s="14">
        <v>5.7</v>
      </c>
      <c r="J3" s="21">
        <v>6.2</v>
      </c>
      <c r="K3" s="21" t="s">
        <v>76</v>
      </c>
    </row>
    <row r="4" spans="1:11" ht="15" customHeight="1">
      <c r="A4" s="13">
        <v>3</v>
      </c>
      <c r="B4" s="20" t="s">
        <v>23</v>
      </c>
      <c r="C4" s="16" t="s">
        <v>41</v>
      </c>
      <c r="D4" s="14">
        <v>0.25</v>
      </c>
      <c r="E4" s="14">
        <v>0.25</v>
      </c>
      <c r="F4" s="14">
        <v>0.3</v>
      </c>
      <c r="G4" s="14">
        <v>0.5</v>
      </c>
      <c r="H4" s="14">
        <v>5.8</v>
      </c>
      <c r="I4" s="14">
        <v>4.8</v>
      </c>
      <c r="J4" s="21">
        <v>5.8</v>
      </c>
      <c r="K4" s="21" t="s">
        <v>76</v>
      </c>
    </row>
    <row r="5" spans="1:11" ht="15" customHeight="1">
      <c r="A5" s="13">
        <v>4</v>
      </c>
      <c r="B5" s="20" t="s">
        <v>24</v>
      </c>
      <c r="C5" s="16" t="s">
        <v>43</v>
      </c>
      <c r="D5" s="14">
        <v>0.4</v>
      </c>
      <c r="E5" s="14">
        <v>0.25</v>
      </c>
      <c r="F5" s="14">
        <v>0.35</v>
      </c>
      <c r="G5" s="14">
        <v>1</v>
      </c>
      <c r="H5" s="14">
        <v>4.5</v>
      </c>
      <c r="I5" s="14">
        <v>4.7</v>
      </c>
      <c r="J5" s="21">
        <v>5.7</v>
      </c>
      <c r="K5" s="21" t="s">
        <v>76</v>
      </c>
    </row>
    <row r="6" spans="1:11" ht="15" customHeight="1">
      <c r="A6" s="13">
        <v>5</v>
      </c>
      <c r="B6" s="20" t="s">
        <v>25</v>
      </c>
      <c r="C6" s="16" t="s">
        <v>45</v>
      </c>
      <c r="D6" s="14">
        <v>0.45</v>
      </c>
      <c r="E6" s="14">
        <v>0.4</v>
      </c>
      <c r="F6" s="14">
        <v>0.35</v>
      </c>
      <c r="G6" s="14">
        <v>0.75</v>
      </c>
      <c r="H6" s="14">
        <v>5.5</v>
      </c>
      <c r="I6" s="14">
        <v>5.3</v>
      </c>
      <c r="J6" s="21">
        <v>5.6</v>
      </c>
      <c r="K6" s="21" t="s">
        <v>76</v>
      </c>
    </row>
    <row r="7" spans="1:11" ht="15" customHeight="1">
      <c r="A7" s="13">
        <v>7</v>
      </c>
      <c r="B7" s="20" t="s">
        <v>27</v>
      </c>
      <c r="C7" s="16" t="s">
        <v>49</v>
      </c>
      <c r="D7" s="14">
        <v>0.4</v>
      </c>
      <c r="E7" s="14">
        <v>0.4</v>
      </c>
      <c r="F7" s="14">
        <v>0.4</v>
      </c>
      <c r="G7" s="14">
        <v>1</v>
      </c>
      <c r="H7" s="14">
        <v>5.3</v>
      </c>
      <c r="I7" s="14">
        <v>5.4</v>
      </c>
      <c r="J7" s="21">
        <v>6.4</v>
      </c>
      <c r="K7" s="21" t="s">
        <v>76</v>
      </c>
    </row>
    <row r="8" spans="1:11" ht="15" customHeight="1">
      <c r="A8" s="13">
        <v>8</v>
      </c>
      <c r="B8" s="20" t="s">
        <v>28</v>
      </c>
      <c r="C8" s="16" t="s">
        <v>51</v>
      </c>
      <c r="D8" s="14">
        <v>0.45</v>
      </c>
      <c r="E8" s="14">
        <v>0.4</v>
      </c>
      <c r="F8" s="14">
        <v>0.45</v>
      </c>
      <c r="G8" s="14">
        <v>0</v>
      </c>
      <c r="H8" s="14">
        <v>6.8</v>
      </c>
      <c r="I8" s="14">
        <v>5.4</v>
      </c>
      <c r="J8" s="21">
        <v>0</v>
      </c>
      <c r="K8" s="21" t="s">
        <v>73</v>
      </c>
    </row>
    <row r="9" spans="1:11" ht="15" customHeight="1">
      <c r="A9" s="13">
        <v>9</v>
      </c>
      <c r="B9" s="20" t="s">
        <v>29</v>
      </c>
      <c r="C9" s="16" t="s">
        <v>53</v>
      </c>
      <c r="D9" s="14">
        <v>0.45</v>
      </c>
      <c r="E9" s="14">
        <v>0.4</v>
      </c>
      <c r="F9" s="14">
        <v>0.4</v>
      </c>
      <c r="G9" s="14">
        <v>0.75</v>
      </c>
      <c r="H9" s="14">
        <v>6.3</v>
      </c>
      <c r="I9" s="14">
        <v>5.8</v>
      </c>
      <c r="J9" s="21">
        <v>6.8</v>
      </c>
      <c r="K9" s="21" t="s">
        <v>77</v>
      </c>
    </row>
    <row r="10" spans="1:11" ht="15" customHeight="1">
      <c r="A10" s="13">
        <v>11</v>
      </c>
      <c r="B10" s="20" t="s">
        <v>31</v>
      </c>
      <c r="C10" s="16" t="s">
        <v>57</v>
      </c>
      <c r="D10" s="14">
        <v>0.4</v>
      </c>
      <c r="E10" s="14">
        <v>0.45</v>
      </c>
      <c r="F10" s="14">
        <v>0.4</v>
      </c>
      <c r="G10" s="14">
        <v>0.3</v>
      </c>
      <c r="H10" s="14">
        <v>-3</v>
      </c>
      <c r="I10" s="14">
        <v>0</v>
      </c>
      <c r="J10" s="21">
        <v>0</v>
      </c>
      <c r="K10" s="21" t="s">
        <v>73</v>
      </c>
    </row>
    <row r="11" spans="1:11" ht="15" customHeight="1">
      <c r="A11" s="13">
        <v>13</v>
      </c>
      <c r="B11" s="20" t="s">
        <v>33</v>
      </c>
      <c r="C11" s="16" t="s">
        <v>61</v>
      </c>
      <c r="D11" s="14">
        <v>0.4</v>
      </c>
      <c r="E11" s="14">
        <v>0.4</v>
      </c>
      <c r="F11" s="14">
        <v>0.35</v>
      </c>
      <c r="G11" s="14">
        <v>1.35</v>
      </c>
      <c r="H11" s="14">
        <v>-3</v>
      </c>
      <c r="I11" s="14">
        <v>0</v>
      </c>
      <c r="J11" s="21">
        <v>0</v>
      </c>
      <c r="K11" s="21" t="s">
        <v>73</v>
      </c>
    </row>
    <row r="12" spans="1:11" ht="15" customHeight="1">
      <c r="A12" s="13">
        <v>14</v>
      </c>
      <c r="B12" s="20" t="s">
        <v>34</v>
      </c>
      <c r="C12" s="16" t="s">
        <v>63</v>
      </c>
      <c r="D12" s="14">
        <v>0.35</v>
      </c>
      <c r="E12" s="14">
        <v>0.4</v>
      </c>
      <c r="F12" s="14">
        <v>0</v>
      </c>
      <c r="G12" s="14">
        <v>0.85</v>
      </c>
      <c r="H12" s="14">
        <v>6.5</v>
      </c>
      <c r="I12" s="14">
        <v>5.5</v>
      </c>
      <c r="J12" s="21">
        <v>6.5</v>
      </c>
      <c r="K12" s="21" t="s">
        <v>77</v>
      </c>
    </row>
  </sheetData>
  <autoFilter ref="A1:K12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showGridLines="0" zoomScaleNormal="100" workbookViewId="0">
      <pane ySplit="1" topLeftCell="A2" activePane="bottomLeft" state="frozen"/>
      <selection activeCell="L1" sqref="L1"/>
      <selection pane="bottomLeft" activeCell="C3" sqref="C3"/>
    </sheetView>
  </sheetViews>
  <sheetFormatPr defaultColWidth="8.59765625" defaultRowHeight="14.25" customHeight="1"/>
  <cols>
    <col min="1" max="1" width="6.59765625" customWidth="1"/>
    <col min="2" max="2" width="15.59765625" customWidth="1"/>
    <col min="3" max="3" width="31.59765625" customWidth="1"/>
    <col min="4" max="4" width="15.59765625" customWidth="1"/>
    <col min="10" max="10" width="19.6640625" customWidth="1"/>
    <col min="11" max="11" width="15.59765625" customWidth="1"/>
  </cols>
  <sheetData>
    <row r="1" spans="1:11" ht="39" customHeight="1">
      <c r="A1" s="18" t="s">
        <v>10</v>
      </c>
      <c r="B1" s="19" t="s">
        <v>11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17</v>
      </c>
      <c r="I1" s="19" t="s">
        <v>18</v>
      </c>
      <c r="J1" s="19" t="s">
        <v>19</v>
      </c>
      <c r="K1" s="19" t="s">
        <v>20</v>
      </c>
    </row>
    <row r="2" spans="1:11" ht="15" customHeight="1">
      <c r="A2" s="13">
        <v>6</v>
      </c>
      <c r="B2" s="20" t="s">
        <v>26</v>
      </c>
      <c r="C2" s="16" t="s">
        <v>47</v>
      </c>
      <c r="D2" s="14">
        <v>0.4</v>
      </c>
      <c r="E2" s="14">
        <v>0.45</v>
      </c>
      <c r="F2" s="14">
        <v>0.5</v>
      </c>
      <c r="G2" s="14">
        <v>1.2</v>
      </c>
      <c r="H2" s="14">
        <v>7.5</v>
      </c>
      <c r="I2" s="14">
        <v>7.1</v>
      </c>
      <c r="J2" s="21">
        <v>8.1</v>
      </c>
      <c r="K2" s="21" t="s">
        <v>79</v>
      </c>
    </row>
  </sheetData>
  <autoFilter ref="A1:K2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 Nguyễn</cp:lastModifiedBy>
  <dcterms:modified xsi:type="dcterms:W3CDTF">2026-10-01T09:43:15Z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2026-09-30T11:06:50Z</dcterms:created>
  <dc:creator>Thư Nguyễn</dc:creator>
  <dc:description/>
  <dc:language>en-US</dc:language>
  <cp:lastModifiedBy>Thư Nguyễn</cp:lastModifiedBy>
  <dcterms:modified xsi:type="dcterms:W3CDTF">2026-10-01T09:37:21Z</dcterms:modified>
  <cp:revision>0</cp:revision>
  <dc:subject/>
  <dc:title/>
</cp:coreProperties>
</file>